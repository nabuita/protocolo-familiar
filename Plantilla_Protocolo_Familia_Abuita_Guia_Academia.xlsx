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7d0b7f05f3b6438/Escritorio/"/>
    </mc:Choice>
  </mc:AlternateContent>
  <xr:revisionPtr revIDLastSave="1" documentId="8_{AD43E883-7007-4392-86D8-335B9794147C}" xr6:coauthVersionLast="47" xr6:coauthVersionMax="47" xr10:uidLastSave="{81C7FB7C-3CF3-4B98-80AB-039E3B2B8492}"/>
  <bookViews>
    <workbookView xWindow="-110" yWindow="-110" windowWidth="19420" windowHeight="11500" tabRatio="1000" xr2:uid="{00000000-000D-0000-FFFF-FFFF00000000}"/>
  </bookViews>
  <sheets>
    <sheet name="Listas" sheetId="1" r:id="rId1"/>
    <sheet name="00_Instrucciones" sheetId="2" r:id="rId2"/>
    <sheet name="01_Familia" sheetId="3" r:id="rId3"/>
    <sheet name="02_Empresas" sheetId="4" r:id="rId4"/>
    <sheet name="03_Accionistas" sheetId="5" r:id="rId5"/>
    <sheet name="04_Patrimonio" sheetId="6" r:id="rId6"/>
    <sheet name="05_Documentos" sheetId="7" r:id="rId7"/>
    <sheet name="06_Riesgos" sheetId="8" r:id="rId8"/>
    <sheet name="07_Decisiones" sheetId="9" r:id="rId9"/>
    <sheet name="08_Resumen" sheetId="10" r:id="rId10"/>
    <sheet name="00_Academia_Campos" sheetId="11" r:id="rId11"/>
    <sheet name="Hoja1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05" i="6" l="1"/>
  <c r="AL205" i="6" s="1"/>
  <c r="AH205" i="6"/>
  <c r="A205" i="6"/>
  <c r="AK204" i="6"/>
  <c r="AL204" i="6" s="1"/>
  <c r="AH204" i="6"/>
  <c r="A204" i="6"/>
  <c r="AK203" i="6"/>
  <c r="AL203" i="6" s="1"/>
  <c r="AH203" i="6"/>
  <c r="A203" i="6"/>
  <c r="AK202" i="6"/>
  <c r="AL202" i="6" s="1"/>
  <c r="AH202" i="6"/>
  <c r="A202" i="6"/>
  <c r="AK201" i="6"/>
  <c r="AL201" i="6" s="1"/>
  <c r="AH201" i="6"/>
  <c r="A201" i="6"/>
  <c r="AK200" i="6"/>
  <c r="AL200" i="6" s="1"/>
  <c r="AH200" i="6"/>
  <c r="A200" i="6"/>
  <c r="AK199" i="6"/>
  <c r="AL199" i="6" s="1"/>
  <c r="AH199" i="6"/>
  <c r="A199" i="6"/>
  <c r="AK198" i="6"/>
  <c r="AL198" i="6" s="1"/>
  <c r="AH198" i="6"/>
  <c r="A198" i="6"/>
  <c r="AK197" i="6"/>
  <c r="AL197" i="6" s="1"/>
  <c r="AH197" i="6"/>
  <c r="A197" i="6"/>
  <c r="AK196" i="6"/>
  <c r="AL196" i="6" s="1"/>
  <c r="AH196" i="6"/>
  <c r="A196" i="6"/>
  <c r="AK195" i="6"/>
  <c r="AL195" i="6" s="1"/>
  <c r="AH195" i="6"/>
  <c r="A195" i="6"/>
  <c r="AK194" i="6"/>
  <c r="AL194" i="6" s="1"/>
  <c r="AH194" i="6"/>
  <c r="A194" i="6"/>
  <c r="AK193" i="6"/>
  <c r="AL193" i="6" s="1"/>
  <c r="AH193" i="6"/>
  <c r="A193" i="6"/>
  <c r="AK192" i="6"/>
  <c r="AL192" i="6" s="1"/>
  <c r="AH192" i="6"/>
  <c r="A192" i="6"/>
  <c r="AK191" i="6"/>
  <c r="AL191" i="6" s="1"/>
  <c r="AH191" i="6"/>
  <c r="A191" i="6"/>
  <c r="AK190" i="6"/>
  <c r="AL190" i="6" s="1"/>
  <c r="AH190" i="6"/>
  <c r="A190" i="6"/>
  <c r="AK189" i="6"/>
  <c r="AL189" i="6" s="1"/>
  <c r="AH189" i="6"/>
  <c r="A189" i="6"/>
  <c r="AK188" i="6"/>
  <c r="AL188" i="6" s="1"/>
  <c r="AH188" i="6"/>
  <c r="A188" i="6"/>
  <c r="AK187" i="6"/>
  <c r="AL187" i="6" s="1"/>
  <c r="AH187" i="6"/>
  <c r="A187" i="6"/>
  <c r="AK186" i="6"/>
  <c r="AL186" i="6" s="1"/>
  <c r="AH186" i="6"/>
  <c r="A186" i="6"/>
  <c r="AK185" i="6"/>
  <c r="AL185" i="6" s="1"/>
  <c r="AH185" i="6"/>
  <c r="A185" i="6"/>
  <c r="AK184" i="6"/>
  <c r="AL184" i="6" s="1"/>
  <c r="AH184" i="6"/>
  <c r="A184" i="6"/>
  <c r="AK183" i="6"/>
  <c r="AL183" i="6" s="1"/>
  <c r="AH183" i="6"/>
  <c r="A183" i="6"/>
  <c r="AK182" i="6"/>
  <c r="AL182" i="6" s="1"/>
  <c r="AH182" i="6"/>
  <c r="A182" i="6"/>
  <c r="AK181" i="6"/>
  <c r="AL181" i="6" s="1"/>
  <c r="AH181" i="6"/>
  <c r="A181" i="6"/>
  <c r="AK180" i="6"/>
  <c r="AL180" i="6" s="1"/>
  <c r="AH180" i="6"/>
  <c r="A180" i="6"/>
  <c r="AK179" i="6"/>
  <c r="AL179" i="6" s="1"/>
  <c r="AH179" i="6"/>
  <c r="A179" i="6"/>
  <c r="AK178" i="6"/>
  <c r="AL178" i="6" s="1"/>
  <c r="AH178" i="6"/>
  <c r="A178" i="6"/>
  <c r="AK177" i="6"/>
  <c r="AL177" i="6" s="1"/>
  <c r="AH177" i="6"/>
  <c r="A177" i="6"/>
  <c r="AK176" i="6"/>
  <c r="AL176" i="6" s="1"/>
  <c r="AH176" i="6"/>
  <c r="A176" i="6"/>
  <c r="AK175" i="6"/>
  <c r="AL175" i="6" s="1"/>
  <c r="AH175" i="6"/>
  <c r="A175" i="6"/>
  <c r="AK174" i="6"/>
  <c r="AL174" i="6" s="1"/>
  <c r="AH174" i="6"/>
  <c r="A174" i="6"/>
  <c r="AL173" i="6"/>
  <c r="AK173" i="6"/>
  <c r="AH173" i="6"/>
  <c r="A173" i="6"/>
  <c r="AK172" i="6"/>
  <c r="AL172" i="6" s="1"/>
  <c r="AH172" i="6"/>
  <c r="A172" i="6"/>
  <c r="AK171" i="6"/>
  <c r="AL171" i="6" s="1"/>
  <c r="AH171" i="6"/>
  <c r="A171" i="6"/>
  <c r="AK170" i="6"/>
  <c r="AL170" i="6" s="1"/>
  <c r="AH170" i="6"/>
  <c r="A170" i="6"/>
  <c r="AK169" i="6"/>
  <c r="AL169" i="6" s="1"/>
  <c r="AH169" i="6"/>
  <c r="A169" i="6"/>
  <c r="AK168" i="6"/>
  <c r="AL168" i="6" s="1"/>
  <c r="AH168" i="6"/>
  <c r="A168" i="6"/>
  <c r="AL167" i="6"/>
  <c r="AK167" i="6"/>
  <c r="AH167" i="6"/>
  <c r="A167" i="6"/>
  <c r="AK166" i="6"/>
  <c r="AL166" i="6" s="1"/>
  <c r="AH166" i="6"/>
  <c r="A166" i="6"/>
  <c r="AK165" i="6"/>
  <c r="AL165" i="6" s="1"/>
  <c r="AH165" i="6"/>
  <c r="A165" i="6"/>
  <c r="AK164" i="6"/>
  <c r="AL164" i="6" s="1"/>
  <c r="AH164" i="6"/>
  <c r="A164" i="6"/>
  <c r="AK163" i="6"/>
  <c r="AL163" i="6" s="1"/>
  <c r="AH163" i="6"/>
  <c r="A163" i="6"/>
  <c r="AK162" i="6"/>
  <c r="AL162" i="6" s="1"/>
  <c r="AH162" i="6"/>
  <c r="A162" i="6"/>
  <c r="AK161" i="6"/>
  <c r="AL161" i="6" s="1"/>
  <c r="AH161" i="6"/>
  <c r="A161" i="6"/>
  <c r="AK160" i="6"/>
  <c r="AL160" i="6" s="1"/>
  <c r="AH160" i="6"/>
  <c r="A160" i="6"/>
  <c r="AK159" i="6"/>
  <c r="AL159" i="6" s="1"/>
  <c r="AH159" i="6"/>
  <c r="A159" i="6"/>
  <c r="AK158" i="6"/>
  <c r="AL158" i="6" s="1"/>
  <c r="AH158" i="6"/>
  <c r="A158" i="6"/>
  <c r="AK157" i="6"/>
  <c r="AL157" i="6" s="1"/>
  <c r="AH157" i="6"/>
  <c r="A157" i="6"/>
  <c r="AK156" i="6"/>
  <c r="AL156" i="6" s="1"/>
  <c r="AH156" i="6"/>
  <c r="A156" i="6"/>
  <c r="AK155" i="6"/>
  <c r="AL155" i="6" s="1"/>
  <c r="AH155" i="6"/>
  <c r="A155" i="6"/>
  <c r="AK154" i="6"/>
  <c r="AL154" i="6" s="1"/>
  <c r="AH154" i="6"/>
  <c r="A154" i="6"/>
  <c r="AK153" i="6"/>
  <c r="AL153" i="6" s="1"/>
  <c r="AH153" i="6"/>
  <c r="A153" i="6"/>
  <c r="AK152" i="6"/>
  <c r="AL152" i="6" s="1"/>
  <c r="AH152" i="6"/>
  <c r="A152" i="6"/>
  <c r="AK151" i="6"/>
  <c r="AL151" i="6" s="1"/>
  <c r="AH151" i="6"/>
  <c r="A151" i="6"/>
  <c r="AK150" i="6"/>
  <c r="AL150" i="6" s="1"/>
  <c r="AH150" i="6"/>
  <c r="A150" i="6"/>
  <c r="AK149" i="6"/>
  <c r="AL149" i="6" s="1"/>
  <c r="AH149" i="6"/>
  <c r="A149" i="6"/>
  <c r="AK148" i="6"/>
  <c r="AL148" i="6" s="1"/>
  <c r="AH148" i="6"/>
  <c r="A148" i="6"/>
  <c r="AK147" i="6"/>
  <c r="AL147" i="6" s="1"/>
  <c r="AH147" i="6"/>
  <c r="A147" i="6"/>
  <c r="AK146" i="6"/>
  <c r="AL146" i="6" s="1"/>
  <c r="AH146" i="6"/>
  <c r="A146" i="6"/>
  <c r="AK145" i="6"/>
  <c r="AL145" i="6" s="1"/>
  <c r="AH145" i="6"/>
  <c r="A145" i="6"/>
  <c r="AK144" i="6"/>
  <c r="AL144" i="6" s="1"/>
  <c r="AH144" i="6"/>
  <c r="A144" i="6"/>
  <c r="AK143" i="6"/>
  <c r="AL143" i="6" s="1"/>
  <c r="AH143" i="6"/>
  <c r="A143" i="6"/>
  <c r="AK142" i="6"/>
  <c r="AL142" i="6" s="1"/>
  <c r="AH142" i="6"/>
  <c r="A142" i="6"/>
  <c r="AK141" i="6"/>
  <c r="AL141" i="6" s="1"/>
  <c r="AH141" i="6"/>
  <c r="A141" i="6"/>
  <c r="AK140" i="6"/>
  <c r="AL140" i="6" s="1"/>
  <c r="AH140" i="6"/>
  <c r="A140" i="6"/>
  <c r="AK139" i="6"/>
  <c r="AL139" i="6" s="1"/>
  <c r="AH139" i="6"/>
  <c r="A139" i="6"/>
  <c r="AK138" i="6"/>
  <c r="AL138" i="6" s="1"/>
  <c r="AH138" i="6"/>
  <c r="A138" i="6"/>
  <c r="AK137" i="6"/>
  <c r="AL137" i="6" s="1"/>
  <c r="AH137" i="6"/>
  <c r="A137" i="6"/>
  <c r="AK136" i="6"/>
  <c r="AL136" i="6" s="1"/>
  <c r="AH136" i="6"/>
  <c r="A136" i="6"/>
  <c r="AK135" i="6"/>
  <c r="AL135" i="6" s="1"/>
  <c r="AH135" i="6"/>
  <c r="A135" i="6"/>
  <c r="AK134" i="6"/>
  <c r="AL134" i="6" s="1"/>
  <c r="AH134" i="6"/>
  <c r="A134" i="6"/>
  <c r="AK133" i="6"/>
  <c r="AL133" i="6" s="1"/>
  <c r="AH133" i="6"/>
  <c r="A133" i="6"/>
  <c r="AK132" i="6"/>
  <c r="AL132" i="6" s="1"/>
  <c r="AH132" i="6"/>
  <c r="A132" i="6"/>
  <c r="AK131" i="6"/>
  <c r="AL131" i="6" s="1"/>
  <c r="AH131" i="6"/>
  <c r="A131" i="6"/>
  <c r="AK130" i="6"/>
  <c r="AL130" i="6" s="1"/>
  <c r="AH130" i="6"/>
  <c r="A130" i="6"/>
  <c r="AK129" i="6"/>
  <c r="AL129" i="6" s="1"/>
  <c r="AH129" i="6"/>
  <c r="A129" i="6"/>
  <c r="AK128" i="6"/>
  <c r="AL128" i="6" s="1"/>
  <c r="AH128" i="6"/>
  <c r="A128" i="6"/>
  <c r="AK127" i="6"/>
  <c r="AL127" i="6" s="1"/>
  <c r="AH127" i="6"/>
  <c r="A127" i="6"/>
  <c r="AK126" i="6"/>
  <c r="AL126" i="6" s="1"/>
  <c r="AH126" i="6"/>
  <c r="A126" i="6"/>
  <c r="AK125" i="6"/>
  <c r="AL125" i="6" s="1"/>
  <c r="AH125" i="6"/>
  <c r="A125" i="6"/>
  <c r="AK124" i="6"/>
  <c r="AL124" i="6" s="1"/>
  <c r="AH124" i="6"/>
  <c r="A124" i="6"/>
  <c r="AK123" i="6"/>
  <c r="AL123" i="6" s="1"/>
  <c r="AH123" i="6"/>
  <c r="A123" i="6"/>
  <c r="AK122" i="6"/>
  <c r="AL122" i="6" s="1"/>
  <c r="AH122" i="6"/>
  <c r="A122" i="6"/>
  <c r="AK121" i="6"/>
  <c r="AL121" i="6" s="1"/>
  <c r="AH121" i="6"/>
  <c r="A121" i="6"/>
  <c r="AK120" i="6"/>
  <c r="AL120" i="6" s="1"/>
  <c r="AH120" i="6"/>
  <c r="A120" i="6"/>
  <c r="AK119" i="6"/>
  <c r="AL119" i="6" s="1"/>
  <c r="AH119" i="6"/>
  <c r="A119" i="6"/>
  <c r="AK118" i="6"/>
  <c r="AL118" i="6" s="1"/>
  <c r="AH118" i="6"/>
  <c r="A118" i="6"/>
  <c r="AK117" i="6"/>
  <c r="AL117" i="6" s="1"/>
  <c r="AH117" i="6"/>
  <c r="A117" i="6"/>
  <c r="AK116" i="6"/>
  <c r="AL116" i="6" s="1"/>
  <c r="AH116" i="6"/>
  <c r="A116" i="6"/>
  <c r="AK115" i="6"/>
  <c r="AL115" i="6" s="1"/>
  <c r="AH115" i="6"/>
  <c r="A115" i="6"/>
  <c r="AK114" i="6"/>
  <c r="AL114" i="6" s="1"/>
  <c r="AH114" i="6"/>
  <c r="A114" i="6"/>
  <c r="AK113" i="6"/>
  <c r="AL113" i="6" s="1"/>
  <c r="AH113" i="6"/>
  <c r="A113" i="6"/>
  <c r="AK112" i="6"/>
  <c r="AL112" i="6" s="1"/>
  <c r="AH112" i="6"/>
  <c r="A112" i="6"/>
  <c r="AK111" i="6"/>
  <c r="AL111" i="6" s="1"/>
  <c r="AH111" i="6"/>
  <c r="A111" i="6"/>
  <c r="AK110" i="6"/>
  <c r="AL110" i="6" s="1"/>
  <c r="AH110" i="6"/>
  <c r="A110" i="6"/>
  <c r="AK109" i="6"/>
  <c r="AL109" i="6" s="1"/>
  <c r="AH109" i="6"/>
  <c r="A109" i="6"/>
  <c r="AK108" i="6"/>
  <c r="AL108" i="6" s="1"/>
  <c r="AH108" i="6"/>
  <c r="A108" i="6"/>
  <c r="AK107" i="6"/>
  <c r="AL107" i="6" s="1"/>
  <c r="AH107" i="6"/>
  <c r="A107" i="6"/>
  <c r="AK106" i="6"/>
  <c r="AL106" i="6" s="1"/>
  <c r="AH106" i="6"/>
  <c r="A106" i="6"/>
  <c r="AK105" i="6"/>
  <c r="AL105" i="6" s="1"/>
  <c r="AH105" i="6"/>
  <c r="A105" i="6"/>
  <c r="AK104" i="6"/>
  <c r="AL104" i="6" s="1"/>
  <c r="AH104" i="6"/>
  <c r="A104" i="6"/>
  <c r="AK103" i="6"/>
  <c r="AL103" i="6" s="1"/>
  <c r="AH103" i="6"/>
  <c r="A103" i="6"/>
  <c r="AK102" i="6"/>
  <c r="AL102" i="6" s="1"/>
  <c r="AH102" i="6"/>
  <c r="A102" i="6"/>
  <c r="AK101" i="6"/>
  <c r="AL101" i="6" s="1"/>
  <c r="AH101" i="6"/>
  <c r="A101" i="6"/>
  <c r="AK100" i="6"/>
  <c r="AL100" i="6" s="1"/>
  <c r="AH100" i="6"/>
  <c r="A100" i="6"/>
  <c r="AK99" i="6"/>
  <c r="AL99" i="6" s="1"/>
  <c r="AH99" i="6"/>
  <c r="A99" i="6"/>
  <c r="AK98" i="6"/>
  <c r="AL98" i="6" s="1"/>
  <c r="AH98" i="6"/>
  <c r="A98" i="6"/>
  <c r="AK97" i="6"/>
  <c r="AL97" i="6" s="1"/>
  <c r="AH97" i="6"/>
  <c r="A97" i="6"/>
  <c r="AK96" i="6"/>
  <c r="AL96" i="6" s="1"/>
  <c r="AH96" i="6"/>
  <c r="A96" i="6"/>
  <c r="AK95" i="6"/>
  <c r="AL95" i="6" s="1"/>
  <c r="AH95" i="6"/>
  <c r="A95" i="6"/>
  <c r="AK94" i="6"/>
  <c r="AL94" i="6" s="1"/>
  <c r="AH94" i="6"/>
  <c r="A94" i="6"/>
  <c r="AK93" i="6"/>
  <c r="AL93" i="6" s="1"/>
  <c r="AH93" i="6"/>
  <c r="A93" i="6"/>
  <c r="AK92" i="6"/>
  <c r="AL92" i="6" s="1"/>
  <c r="AH92" i="6"/>
  <c r="A92" i="6"/>
  <c r="AK91" i="6"/>
  <c r="AL91" i="6" s="1"/>
  <c r="AH91" i="6"/>
  <c r="A91" i="6"/>
  <c r="AK90" i="6"/>
  <c r="AL90" i="6" s="1"/>
  <c r="AH90" i="6"/>
  <c r="A90" i="6"/>
  <c r="AK89" i="6"/>
  <c r="AL89" i="6" s="1"/>
  <c r="AH89" i="6"/>
  <c r="A89" i="6"/>
  <c r="AK88" i="6"/>
  <c r="AL88" i="6" s="1"/>
  <c r="AH88" i="6"/>
  <c r="A88" i="6"/>
  <c r="AK87" i="6"/>
  <c r="AL87" i="6" s="1"/>
  <c r="AH87" i="6"/>
  <c r="A87" i="6"/>
  <c r="AK86" i="6"/>
  <c r="AL86" i="6" s="1"/>
  <c r="AH86" i="6"/>
  <c r="A86" i="6"/>
  <c r="AK85" i="6"/>
  <c r="AL85" i="6" s="1"/>
  <c r="AH85" i="6"/>
  <c r="A85" i="6"/>
  <c r="AK84" i="6"/>
  <c r="AL84" i="6" s="1"/>
  <c r="AH84" i="6"/>
  <c r="A84" i="6"/>
  <c r="AK83" i="6"/>
  <c r="AL83" i="6" s="1"/>
  <c r="AH83" i="6"/>
  <c r="A83" i="6"/>
  <c r="AK82" i="6"/>
  <c r="AL82" i="6" s="1"/>
  <c r="AH82" i="6"/>
  <c r="A82" i="6"/>
  <c r="AK81" i="6"/>
  <c r="AL81" i="6" s="1"/>
  <c r="AH81" i="6"/>
  <c r="A81" i="6"/>
  <c r="AK80" i="6"/>
  <c r="AL80" i="6" s="1"/>
  <c r="AH80" i="6"/>
  <c r="A80" i="6"/>
  <c r="AK79" i="6"/>
  <c r="AL79" i="6" s="1"/>
  <c r="AH79" i="6"/>
  <c r="A79" i="6"/>
  <c r="AK78" i="6"/>
  <c r="AL78" i="6" s="1"/>
  <c r="AH78" i="6"/>
  <c r="A78" i="6"/>
  <c r="AK77" i="6"/>
  <c r="AL77" i="6" s="1"/>
  <c r="AH77" i="6"/>
  <c r="A77" i="6"/>
  <c r="AK76" i="6"/>
  <c r="AL76" i="6" s="1"/>
  <c r="AH76" i="6"/>
  <c r="A76" i="6"/>
  <c r="AK75" i="6"/>
  <c r="AL75" i="6" s="1"/>
  <c r="AH75" i="6"/>
  <c r="A75" i="6"/>
  <c r="AK74" i="6"/>
  <c r="AL74" i="6" s="1"/>
  <c r="AH74" i="6"/>
  <c r="A74" i="6"/>
  <c r="AK73" i="6"/>
  <c r="AL73" i="6" s="1"/>
  <c r="AH73" i="6"/>
  <c r="A73" i="6"/>
  <c r="AK72" i="6"/>
  <c r="AL72" i="6" s="1"/>
  <c r="AH72" i="6"/>
  <c r="A72" i="6"/>
  <c r="AK71" i="6"/>
  <c r="AL71" i="6" s="1"/>
  <c r="AH71" i="6"/>
  <c r="A71" i="6"/>
  <c r="AK70" i="6"/>
  <c r="AL70" i="6" s="1"/>
  <c r="AH70" i="6"/>
  <c r="A70" i="6"/>
  <c r="AK69" i="6"/>
  <c r="AL69" i="6" s="1"/>
  <c r="AH69" i="6"/>
  <c r="A69" i="6"/>
  <c r="AK68" i="6"/>
  <c r="AL68" i="6" s="1"/>
  <c r="AH68" i="6"/>
  <c r="A68" i="6"/>
  <c r="AK67" i="6"/>
  <c r="AL67" i="6" s="1"/>
  <c r="AH67" i="6"/>
  <c r="A67" i="6"/>
  <c r="AK66" i="6"/>
  <c r="AL66" i="6" s="1"/>
  <c r="AH66" i="6"/>
  <c r="A66" i="6"/>
  <c r="AK65" i="6"/>
  <c r="AL65" i="6" s="1"/>
  <c r="AH65" i="6"/>
  <c r="A65" i="6"/>
  <c r="AK64" i="6"/>
  <c r="AL64" i="6" s="1"/>
  <c r="AH64" i="6"/>
  <c r="A64" i="6"/>
  <c r="AK63" i="6"/>
  <c r="AL63" i="6" s="1"/>
  <c r="AH63" i="6"/>
  <c r="A63" i="6"/>
  <c r="AK62" i="6"/>
  <c r="AL62" i="6" s="1"/>
  <c r="AH62" i="6"/>
  <c r="A62" i="6"/>
  <c r="AK61" i="6"/>
  <c r="AL61" i="6" s="1"/>
  <c r="AH61" i="6"/>
  <c r="A61" i="6"/>
  <c r="AK60" i="6"/>
  <c r="AL60" i="6" s="1"/>
  <c r="AH60" i="6"/>
  <c r="A60" i="6"/>
  <c r="AK59" i="6"/>
  <c r="AL59" i="6" s="1"/>
  <c r="AH59" i="6"/>
  <c r="A59" i="6"/>
  <c r="AK58" i="6"/>
  <c r="AL58" i="6" s="1"/>
  <c r="AH58" i="6"/>
  <c r="A58" i="6"/>
  <c r="AK57" i="6"/>
  <c r="AL57" i="6" s="1"/>
  <c r="AH57" i="6"/>
  <c r="A57" i="6"/>
  <c r="AK56" i="6"/>
  <c r="AL56" i="6" s="1"/>
  <c r="AH56" i="6"/>
  <c r="A56" i="6"/>
  <c r="AK55" i="6"/>
  <c r="AL55" i="6" s="1"/>
  <c r="AH55" i="6"/>
  <c r="A55" i="6"/>
  <c r="AK54" i="6"/>
  <c r="AL54" i="6" s="1"/>
  <c r="AH54" i="6"/>
  <c r="A54" i="6"/>
  <c r="AK53" i="6"/>
  <c r="AL53" i="6" s="1"/>
  <c r="AH53" i="6"/>
  <c r="A53" i="6"/>
  <c r="AK52" i="6"/>
  <c r="AL52" i="6" s="1"/>
  <c r="AH52" i="6"/>
  <c r="A52" i="6"/>
  <c r="AK51" i="6"/>
  <c r="AL51" i="6" s="1"/>
  <c r="AH51" i="6"/>
  <c r="A51" i="6"/>
  <c r="AK50" i="6"/>
  <c r="AL50" i="6" s="1"/>
  <c r="AH50" i="6"/>
  <c r="A50" i="6"/>
  <c r="AK49" i="6"/>
  <c r="AL49" i="6" s="1"/>
  <c r="AH49" i="6"/>
  <c r="A49" i="6"/>
  <c r="AK48" i="6"/>
  <c r="AL48" i="6" s="1"/>
  <c r="AH48" i="6"/>
  <c r="A48" i="6"/>
  <c r="AK47" i="6"/>
  <c r="AL47" i="6" s="1"/>
  <c r="AH47" i="6"/>
  <c r="A47" i="6"/>
  <c r="AK46" i="6"/>
  <c r="AL46" i="6" s="1"/>
  <c r="AH46" i="6"/>
  <c r="A46" i="6"/>
  <c r="AK45" i="6"/>
  <c r="AL45" i="6" s="1"/>
  <c r="AH45" i="6"/>
  <c r="A45" i="6"/>
  <c r="AK44" i="6"/>
  <c r="AL44" i="6" s="1"/>
  <c r="AH44" i="6"/>
  <c r="A44" i="6"/>
  <c r="AK43" i="6"/>
  <c r="AL43" i="6" s="1"/>
  <c r="AH43" i="6"/>
  <c r="A43" i="6"/>
  <c r="AK42" i="6"/>
  <c r="AL42" i="6" s="1"/>
  <c r="AH42" i="6"/>
  <c r="A42" i="6"/>
  <c r="AK41" i="6"/>
  <c r="AL41" i="6" s="1"/>
  <c r="AH41" i="6"/>
  <c r="A41" i="6"/>
  <c r="AK40" i="6"/>
  <c r="AL40" i="6" s="1"/>
  <c r="AH40" i="6"/>
  <c r="A40" i="6"/>
  <c r="AK39" i="6"/>
  <c r="AL39" i="6" s="1"/>
  <c r="AH39" i="6"/>
  <c r="A39" i="6"/>
  <c r="AK38" i="6"/>
  <c r="AL38" i="6" s="1"/>
  <c r="AH38" i="6"/>
  <c r="A38" i="6"/>
  <c r="AK37" i="6"/>
  <c r="AL37" i="6" s="1"/>
  <c r="AH37" i="6"/>
  <c r="A37" i="6"/>
  <c r="AK36" i="6"/>
  <c r="AL36" i="6" s="1"/>
  <c r="AH36" i="6"/>
  <c r="A36" i="6"/>
  <c r="AK35" i="6"/>
  <c r="AL35" i="6" s="1"/>
  <c r="AH35" i="6"/>
  <c r="A35" i="6"/>
  <c r="AK34" i="6"/>
  <c r="AL34" i="6" s="1"/>
  <c r="AH34" i="6"/>
  <c r="A34" i="6"/>
  <c r="AK33" i="6"/>
  <c r="AL33" i="6" s="1"/>
  <c r="AH33" i="6"/>
  <c r="A33" i="6"/>
  <c r="AK32" i="6"/>
  <c r="AL32" i="6" s="1"/>
  <c r="AH32" i="6"/>
  <c r="A32" i="6"/>
  <c r="AK31" i="6"/>
  <c r="AL31" i="6" s="1"/>
  <c r="AH31" i="6"/>
  <c r="A31" i="6"/>
  <c r="AK30" i="6"/>
  <c r="AL30" i="6" s="1"/>
  <c r="AH30" i="6"/>
  <c r="A30" i="6"/>
  <c r="AK29" i="6"/>
  <c r="AL29" i="6" s="1"/>
  <c r="AH29" i="6"/>
  <c r="A29" i="6"/>
  <c r="AK28" i="6"/>
  <c r="AL28" i="6" s="1"/>
  <c r="AH28" i="6"/>
  <c r="A28" i="6"/>
  <c r="AK27" i="6"/>
  <c r="AL27" i="6" s="1"/>
  <c r="AH27" i="6"/>
  <c r="A27" i="6"/>
  <c r="AK26" i="6"/>
  <c r="AL26" i="6" s="1"/>
  <c r="AH26" i="6"/>
  <c r="A26" i="6"/>
  <c r="AK25" i="6"/>
  <c r="AL25" i="6" s="1"/>
  <c r="AH25" i="6"/>
  <c r="A25" i="6"/>
  <c r="AK24" i="6"/>
  <c r="AL24" i="6" s="1"/>
  <c r="AH24" i="6"/>
  <c r="A24" i="6"/>
  <c r="AK23" i="6"/>
  <c r="AL23" i="6" s="1"/>
  <c r="AH23" i="6"/>
  <c r="A23" i="6"/>
  <c r="AK22" i="6"/>
  <c r="AL22" i="6" s="1"/>
  <c r="AH22" i="6"/>
  <c r="A22" i="6"/>
  <c r="AK21" i="6"/>
  <c r="AL21" i="6" s="1"/>
  <c r="AH21" i="6"/>
  <c r="A21" i="6"/>
  <c r="AK20" i="6"/>
  <c r="AL20" i="6" s="1"/>
  <c r="AH20" i="6"/>
  <c r="A20" i="6"/>
  <c r="AK19" i="6"/>
  <c r="AL19" i="6" s="1"/>
  <c r="AH19" i="6"/>
  <c r="A19" i="6"/>
  <c r="AK18" i="6"/>
  <c r="AL18" i="6" s="1"/>
  <c r="AH18" i="6"/>
  <c r="A18" i="6"/>
  <c r="AK17" i="6"/>
  <c r="AL17" i="6" s="1"/>
  <c r="AH17" i="6"/>
  <c r="A17" i="6"/>
  <c r="AK16" i="6"/>
  <c r="AL16" i="6" s="1"/>
  <c r="AH16" i="6"/>
  <c r="A16" i="6"/>
  <c r="AK15" i="6"/>
  <c r="AL15" i="6" s="1"/>
  <c r="AH15" i="6"/>
  <c r="A15" i="6"/>
  <c r="AL14" i="6"/>
  <c r="AK14" i="6"/>
  <c r="AH14" i="6"/>
  <c r="A14" i="6"/>
  <c r="AK13" i="6"/>
  <c r="AL13" i="6" s="1"/>
  <c r="AH13" i="6"/>
  <c r="A13" i="6"/>
  <c r="AK12" i="6"/>
  <c r="AL12" i="6" s="1"/>
  <c r="AH12" i="6"/>
  <c r="A12" i="6"/>
  <c r="AK11" i="6"/>
  <c r="AL11" i="6" s="1"/>
  <c r="AH11" i="6"/>
  <c r="A11" i="6"/>
  <c r="AK10" i="6"/>
  <c r="AL10" i="6" s="1"/>
  <c r="AH10" i="6"/>
  <c r="A10" i="6"/>
  <c r="AK9" i="6"/>
  <c r="AL9" i="6" s="1"/>
  <c r="AH9" i="6"/>
  <c r="A9" i="6"/>
  <c r="AK8" i="6"/>
  <c r="AL8" i="6" s="1"/>
  <c r="AH8" i="6"/>
  <c r="A8" i="6"/>
  <c r="AK7" i="6"/>
  <c r="AL7" i="6" s="1"/>
  <c r="AH7" i="6"/>
  <c r="A7" i="6"/>
  <c r="AK6" i="6"/>
  <c r="AL6" i="6" s="1"/>
  <c r="AH6" i="6"/>
  <c r="A6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S9" i="5"/>
  <c r="P5" i="5" s="1"/>
  <c r="P6" i="5"/>
  <c r="P7" i="5"/>
  <c r="P8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I10" i="5"/>
  <c r="I11" i="5"/>
  <c r="I12" i="5"/>
  <c r="I5" i="5"/>
  <c r="I6" i="5"/>
  <c r="I7" i="5"/>
  <c r="I8" i="5"/>
  <c r="I9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J5" i="5"/>
  <c r="J6" i="5"/>
  <c r="J7" i="5"/>
  <c r="J8" i="5"/>
  <c r="J9" i="5"/>
  <c r="J11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A25" i="5"/>
  <c r="A26" i="5"/>
  <c r="A27" i="5"/>
  <c r="A28" i="5"/>
  <c r="A29" i="5"/>
  <c r="A30" i="5"/>
  <c r="A31" i="5"/>
  <c r="A32" i="5"/>
  <c r="A33" i="5"/>
  <c r="A34" i="5"/>
  <c r="A35" i="5"/>
  <c r="A36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C5" i="5"/>
  <c r="C6" i="5"/>
  <c r="C7" i="5"/>
  <c r="C8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1" i="10"/>
  <c r="B11" i="10"/>
  <c r="C10" i="10"/>
  <c r="B10" i="10"/>
  <c r="C9" i="10"/>
  <c r="B9" i="10"/>
  <c r="C8" i="10"/>
  <c r="B8" i="10"/>
  <c r="C7" i="10"/>
  <c r="C6" i="10"/>
  <c r="B6" i="10"/>
  <c r="C5" i="10"/>
  <c r="B5" i="10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37" i="5" l="1"/>
  <c r="A38" i="5" l="1"/>
  <c r="A39" i="5" l="1"/>
  <c r="A40" i="5" l="1"/>
  <c r="A41" i="5" l="1"/>
  <c r="A42" i="5" l="1"/>
  <c r="A43" i="5" l="1"/>
  <c r="A44" i="5" l="1"/>
  <c r="A45" i="5" l="1"/>
  <c r="A46" i="5" l="1"/>
  <c r="A47" i="5" l="1"/>
  <c r="A48" i="5" l="1"/>
  <c r="A49" i="5" l="1"/>
  <c r="A50" i="5" l="1"/>
  <c r="A51" i="5" l="1"/>
  <c r="A52" i="5" l="1"/>
  <c r="A53" i="5" l="1"/>
  <c r="A54" i="5" l="1"/>
  <c r="A55" i="5" l="1"/>
  <c r="A56" i="5" l="1"/>
  <c r="A57" i="5" l="1"/>
  <c r="A58" i="5" l="1"/>
  <c r="A59" i="5" l="1"/>
  <c r="A60" i="5" l="1"/>
  <c r="A61" i="5" l="1"/>
  <c r="A62" i="5" l="1"/>
  <c r="A63" i="5" l="1"/>
  <c r="A64" i="5" l="1"/>
  <c r="A65" i="5" l="1"/>
  <c r="A66" i="5" l="1"/>
  <c r="A67" i="5" l="1"/>
  <c r="A68" i="5" l="1"/>
  <c r="A69" i="5" l="1"/>
  <c r="A70" i="5" l="1"/>
  <c r="A71" i="5" l="1"/>
  <c r="A72" i="5" l="1"/>
  <c r="A73" i="5" l="1"/>
  <c r="A74" i="5" l="1"/>
  <c r="A75" i="5" l="1"/>
  <c r="A76" i="5" l="1"/>
  <c r="A77" i="5" l="1"/>
  <c r="A78" i="5" l="1"/>
  <c r="A79" i="5" l="1"/>
  <c r="A80" i="5" l="1"/>
  <c r="A81" i="5" l="1"/>
  <c r="A82" i="5" l="1"/>
  <c r="A83" i="5" l="1"/>
  <c r="A84" i="5" l="1"/>
  <c r="A85" i="5" l="1"/>
  <c r="A86" i="5" l="1"/>
  <c r="A87" i="5" l="1"/>
  <c r="A88" i="5" l="1"/>
  <c r="A89" i="5" l="1"/>
  <c r="A90" i="5" l="1"/>
  <c r="A91" i="5" l="1"/>
  <c r="A92" i="5" l="1"/>
  <c r="A93" i="5" l="1"/>
  <c r="A94" i="5" l="1"/>
  <c r="A95" i="5" l="1"/>
  <c r="A96" i="5" l="1"/>
  <c r="A97" i="5" l="1"/>
  <c r="A98" i="5" l="1"/>
  <c r="A99" i="5" l="1"/>
  <c r="A100" i="5" l="1"/>
  <c r="A101" i="5" l="1"/>
  <c r="A102" i="5" l="1"/>
  <c r="A103" i="5" l="1"/>
  <c r="B7" i="10" l="1"/>
  <c r="A104" i="5"/>
</calcChain>
</file>

<file path=xl/sharedStrings.xml><?xml version="1.0" encoding="utf-8"?>
<sst xmlns="http://schemas.openxmlformats.org/spreadsheetml/2006/main" count="2406" uniqueCount="1512">
  <si>
    <t>Sí/No</t>
  </si>
  <si>
    <t>Estado civil</t>
  </si>
  <si>
    <t>Tipo sociedad</t>
  </si>
  <si>
    <t>Tipo vínculo</t>
  </si>
  <si>
    <t>Origen acciones</t>
  </si>
  <si>
    <t>Estado documento</t>
  </si>
  <si>
    <t>Nivel riesgo</t>
  </si>
  <si>
    <t>Hoja auxiliar para listas desplegables. No requiere diligenciamiento.</t>
  </si>
  <si>
    <t>Sí</t>
  </si>
  <si>
    <t>Soltero(a)</t>
  </si>
  <si>
    <t>S.A.S.</t>
  </si>
  <si>
    <t>Fundador(a)</t>
  </si>
  <si>
    <t>Constitución</t>
  </si>
  <si>
    <t>Existe y está actualizado</t>
  </si>
  <si>
    <t>Bajo</t>
  </si>
  <si>
    <t>No</t>
  </si>
  <si>
    <t>Casado(a)</t>
  </si>
  <si>
    <t>S.A.</t>
  </si>
  <si>
    <t>Hijo(a)</t>
  </si>
  <si>
    <t>Compra</t>
  </si>
  <si>
    <t>Existe, requiere revisión</t>
  </si>
  <si>
    <t>Medio</t>
  </si>
  <si>
    <t>No sabe</t>
  </si>
  <si>
    <t>Unión libre</t>
  </si>
  <si>
    <t>Ltda.</t>
  </si>
  <si>
    <t>Nieto(a)</t>
  </si>
  <si>
    <t>Donación</t>
  </si>
  <si>
    <t>No existe</t>
  </si>
  <si>
    <t>Alto</t>
  </si>
  <si>
    <t>No aplica</t>
  </si>
  <si>
    <t>Divorciado(a)</t>
  </si>
  <si>
    <t>Empresa unipersonal</t>
  </si>
  <si>
    <t>Cónyuge/compañero(a)</t>
  </si>
  <si>
    <t>Herencia</t>
  </si>
  <si>
    <t>En preparación</t>
  </si>
  <si>
    <t>Crítico</t>
  </si>
  <si>
    <t>Viudo(a)</t>
  </si>
  <si>
    <t>Persona natural</t>
  </si>
  <si>
    <t>Hermano(a)</t>
  </si>
  <si>
    <t>Capitalización</t>
  </si>
  <si>
    <t>Separado(a)</t>
  </si>
  <si>
    <t>Fundación/ESAL</t>
  </si>
  <si>
    <t>Otro familiar</t>
  </si>
  <si>
    <t>Cesión</t>
  </si>
  <si>
    <t>Por confirmar</t>
  </si>
  <si>
    <t>Otra</t>
  </si>
  <si>
    <t>No familiar</t>
  </si>
  <si>
    <t>Otro</t>
  </si>
  <si>
    <t>DIAGNÓSTICO Y BASES DEL PROTOCOLO DE LA FAMILIA ABUITA</t>
  </si>
  <si>
    <t>Objetivo de la plantilla</t>
  </si>
  <si>
    <t>Reunir en un solo archivo la información familiar, societaria y patrimonial necesaria para preparar el Protocolo Familiar, la reforma de estatutos, los acuerdos de accionistas, las capitulaciones o liquidaciones patrimoniales y la planeación sucesoral.</t>
  </si>
  <si>
    <t>Orden recomendado de diligenciamiento</t>
  </si>
  <si>
    <t>Paso</t>
  </si>
  <si>
    <t>Hoja</t>
  </si>
  <si>
    <t>Qué diligenciar</t>
  </si>
  <si>
    <t>Resultado</t>
  </si>
  <si>
    <t>1</t>
  </si>
  <si>
    <t>Familia</t>
  </si>
  <si>
    <t>Registre fundadores, hijos, cónyuges y demás familiares relevantes.</t>
  </si>
  <si>
    <t>01_Familia</t>
  </si>
  <si>
    <t>2</t>
  </si>
  <si>
    <t>Empresas</t>
  </si>
  <si>
    <t>Incluya todas las sociedades y negocios familiares.</t>
  </si>
  <si>
    <t>02_Empresas</t>
  </si>
  <si>
    <t>3</t>
  </si>
  <si>
    <t>Accionistas</t>
  </si>
  <si>
    <t>Relacione quién posee acciones, cómo y cuándo las adquirió.</t>
  </si>
  <si>
    <t>03_Accionistas</t>
  </si>
  <si>
    <t>4</t>
  </si>
  <si>
    <t>Patrimonio</t>
  </si>
  <si>
    <t>Registre bienes relevantes sin incluir información bancaria sensible.</t>
  </si>
  <si>
    <t>04_Patrimonio</t>
  </si>
  <si>
    <t>5</t>
  </si>
  <si>
    <t>Documentos</t>
  </si>
  <si>
    <t>Identifique estatutos, acuerdos, capitulaciones, testamentos y seguros.</t>
  </si>
  <si>
    <t>05_Documentos</t>
  </si>
  <si>
    <t>6</t>
  </si>
  <si>
    <t>Riesgos</t>
  </si>
  <si>
    <t>Evalúe matrimonio, divorcio, fallecimiento, incapacidad y conflictos.</t>
  </si>
  <si>
    <t>06_Riesgos</t>
  </si>
  <si>
    <t>7</t>
  </si>
  <si>
    <t>Decisiones</t>
  </si>
  <si>
    <t>Consigne la voluntad familiar y los documentos donde deberá ejecutarse.</t>
  </si>
  <si>
    <t>07_Decisiones</t>
  </si>
  <si>
    <t>8</t>
  </si>
  <si>
    <t>Resumen</t>
  </si>
  <si>
    <t>Revise pendientes, alertas y avance general.</t>
  </si>
  <si>
    <t>08_Resumen</t>
  </si>
  <si>
    <t>Reglas para diligenciar</t>
  </si>
  <si>
    <t>• No registrar números de cédula, cuentas bancarias ni claves.
• Utilizar porcentajes aproximados cuando todavía no se tenga el certificado o libro de accionistas.
• Marcar “No sabe” cuando la información deba verificarse; no dejar el dato como cierto por suposición.
• Una fila corresponde a una persona, sociedad, participación, bien, documento, riesgo o decisión.
• La información será revisada jurídicamente antes de firmar cualquier reforma o instrumento.</t>
  </si>
  <si>
    <t>CÓMO INTERPRETAR CADA FILA</t>
  </si>
  <si>
    <t>Qué representa una fila</t>
  </si>
  <si>
    <t>Regla práctica</t>
  </si>
  <si>
    <t>Una fila representa una persona.</t>
  </si>
  <si>
    <t>No repitas a la misma persona salvo que necesites corregirla.</t>
  </si>
  <si>
    <t>Una fila representa una empresa.</t>
  </si>
  <si>
    <t>Incluye también sociedades patrimoniales o empresas inactivas con bienes.</t>
  </si>
  <si>
    <t>Una fila representa un accionista dentro de una empresa.</t>
  </si>
  <si>
    <t>Repite la empresa por cada accionista; los porcentajes de esa empresa deben sumar 100%.</t>
  </si>
  <si>
    <t>Una fila representa un bien o activo.</t>
  </si>
  <si>
    <t>No incluyas cuentas, claves ni datos bancarios sensibles.</t>
  </si>
  <si>
    <t>Una fila representa un documento.</t>
  </si>
  <si>
    <t>Marca “No sabe” cuando sea necesario verificar.</t>
  </si>
  <si>
    <t>Una fila representa un evento que podría afectar a la familia o empresa.</t>
  </si>
  <si>
    <t>No se necesita una conclusión jurídica definitiva en esta etapa.</t>
  </si>
  <si>
    <t>Una fila representa una regla que la familia debe acordar.</t>
  </si>
  <si>
    <t>Primero se define la voluntad y después se traduce a documentos jurídicos.</t>
  </si>
  <si>
    <t>01. MAPA DE LA FAMILIA EMPRESARIA</t>
  </si>
  <si>
    <t>OBJETIVO: identificar a las personas que integran la familia empresaria y su relación con las empresas. UNIDAD DE REGISTRO: una fila por cada persona. Primera generación: fundadores; segunda: hijos; tercera: nietos. Los cónyuges se identifican como familia política.</t>
  </si>
  <si>
    <t>Código</t>
  </si>
  <si>
    <t>Nombre completo</t>
  </si>
  <si>
    <t>Tipo de vínculo</t>
  </si>
  <si>
    <t>Generación</t>
  </si>
  <si>
    <t>Edad</t>
  </si>
  <si>
    <t>Año matrimonio/convivencia</t>
  </si>
  <si>
    <t>Tiene capitulaciones</t>
  </si>
  <si>
    <t>Sociedad conyugal/patrimonial liquidada</t>
  </si>
  <si>
    <t>Número de hijos</t>
  </si>
  <si>
    <t>Trabaja en empresa familiar</t>
  </si>
  <si>
    <t>Empresa donde trabaja</t>
  </si>
  <si>
    <t>Cargo</t>
  </si>
  <si>
    <t>Es accionista</t>
  </si>
  <si>
    <t>Participa en decisiones</t>
  </si>
  <si>
    <t>Observaciones</t>
  </si>
  <si>
    <t>02. INVENTARIO DE EMPRESAS Y NEGOCIOS</t>
  </si>
  <si>
    <t>OBJETIVO: conocer todas las sociedades y negocios familiares, su función, administración y estado documental. UNIDAD DE REGISTRO: una fila por cada empresa o negocio.</t>
  </si>
  <si>
    <t>Razón social</t>
  </si>
  <si>
    <t>Nombre comercial</t>
  </si>
  <si>
    <t>Tipo de sociedad</t>
  </si>
  <si>
    <t>Año creación</t>
  </si>
  <si>
    <t>Actividad principal</t>
  </si>
  <si>
    <t>Empresa operativa/patrimonial</t>
  </si>
  <si>
    <t>Representante legal</t>
  </si>
  <si>
    <t>Tiene junta directiva</t>
  </si>
  <si>
    <t>Tiene revisor fiscal</t>
  </si>
  <si>
    <t>Tiene inmuebles propios</t>
  </si>
  <si>
    <t>Tiene empleados</t>
  </si>
  <si>
    <t>Deudas o créditos importantes</t>
  </si>
  <si>
    <t>Estatutos actualizados</t>
  </si>
  <si>
    <t>Acuerdo de accionistas</t>
  </si>
  <si>
    <t>Libro de accionistas actualizado</t>
  </si>
  <si>
    <t>Nivel de riesgo</t>
  </si>
  <si>
    <t>03. COMPOSICIÓN ACCIONARIA Y ORIGEN DE LAS PARTICIPACIONES</t>
  </si>
  <si>
    <t>OBJETIVO: establecer quién es propietario de cada empresa, desde cuándo y cómo adquirió su participación. REGLA PRINCIPAL: una fila por cada accionista de cada empresa; por eso debes repetir la misma empresa tantas veces como accionistas tenga. El porcentaje total de cada empresa debe sumar 100%.</t>
  </si>
  <si>
    <t>Empresa</t>
  </si>
  <si>
    <t>Accionista</t>
  </si>
  <si>
    <t>Vínculo familiar</t>
  </si>
  <si>
    <t>Número de acciones/cuotas</t>
  </si>
  <si>
    <t>Porcentaje</t>
  </si>
  <si>
    <t>Año de ingreso</t>
  </si>
  <si>
    <t>Forma de adquisición</t>
  </si>
  <si>
    <t>Valor pagado/aportado</t>
  </si>
  <si>
    <t>Quién aportó los recursos</t>
  </si>
  <si>
    <t>Estado civil al adquirir</t>
  </si>
  <si>
    <t>Convivía en ese momento</t>
  </si>
  <si>
    <t>Existe documento de adquisición</t>
  </si>
  <si>
    <t>Registro en libro accionistas</t>
  </si>
  <si>
    <t>Restricción vigente</t>
  </si>
  <si>
    <t>Valor estimado actual</t>
  </si>
  <si>
    <t>Titular</t>
  </si>
  <si>
    <t>Tipo de bien</t>
  </si>
  <si>
    <t>Descripción general</t>
  </si>
  <si>
    <t>Ciudad/ubicación general</t>
  </si>
  <si>
    <t>Fecha/año adquisición</t>
  </si>
  <si>
    <t>Valor estimado</t>
  </si>
  <si>
    <t>Tiene gravamen</t>
  </si>
  <si>
    <t>Está vinculado a una empresa</t>
  </si>
  <si>
    <t>Empresa relacionada</t>
  </si>
  <si>
    <t>Genera ingresos</t>
  </si>
  <si>
    <t>Protección actual</t>
  </si>
  <si>
    <t>Nivel de prioridad</t>
  </si>
  <si>
    <t>05. INVENTARIO DE DOCUMENTOS JURÍDICOS Y PATRIMONIALES</t>
  </si>
  <si>
    <t>OBJETIVO: saber qué documentos existen, cuáles faltan y cuáles deben actualizarse. UNIDAD DE REGISTRO: una fila por cada documento relacionado con una persona o empresa.</t>
  </si>
  <si>
    <t>Persona/empresa relacionada</t>
  </si>
  <si>
    <t>Tipo de documento</t>
  </si>
  <si>
    <t>Existe</t>
  </si>
  <si>
    <t>Fecha</t>
  </si>
  <si>
    <t>Estado</t>
  </si>
  <si>
    <t>Notaría/Cámara/entidad</t>
  </si>
  <si>
    <t>Ubicación del archivo</t>
  </si>
  <si>
    <t>Requiere actualización</t>
  </si>
  <si>
    <t>Responsable de conseguirlo</t>
  </si>
  <si>
    <t>Fecha objetivo</t>
  </si>
  <si>
    <t>Prioridad</t>
  </si>
  <si>
    <t>06. MATRIZ DE RIESGOS FAMILIARES, SOCIETARIOS Y SUCESORALES</t>
  </si>
  <si>
    <t>OBJETIVO: anticipar eventos que puedan afectar la propiedad, el control, la continuidad o la armonía familiar. UNIDAD DE REGISTRO: una fila por cada riesgo o evento identificado.</t>
  </si>
  <si>
    <t>Persona/empresa afectada</t>
  </si>
  <si>
    <t>Evento o riesgo</t>
  </si>
  <si>
    <t>Descripción</t>
  </si>
  <si>
    <t>Probabilidad</t>
  </si>
  <si>
    <t>Impacto</t>
  </si>
  <si>
    <t>Medida preventiva propuesta</t>
  </si>
  <si>
    <t>Documento que debe regularlo</t>
  </si>
  <si>
    <t>Responsable</t>
  </si>
  <si>
    <t>07. DECISIONES BASE DEL PROTOCOLO Y MATRIZ DE IMPLEMENTACIÓN</t>
  </si>
  <si>
    <t>OBJETIVO: recoger la voluntad de la familia antes de redactar documentos jurídicos. UNIDAD DE REGISTRO: una fila por cada regla o decisión que la familia debe discutir y aprobar.</t>
  </si>
  <si>
    <t>Tema</t>
  </si>
  <si>
    <t>Pregunta o decisión familiar</t>
  </si>
  <si>
    <t>Posición propuesta</t>
  </si>
  <si>
    <t>Acuerdo familiar</t>
  </si>
  <si>
    <t>Protocolo familiar</t>
  </si>
  <si>
    <t>Estatutos</t>
  </si>
  <si>
    <t>Acuerdo accionistas</t>
  </si>
  <si>
    <t>Capitulaciones/liquidación</t>
  </si>
  <si>
    <t>Testamento/sucesión</t>
  </si>
  <si>
    <t>Manual o política</t>
  </si>
  <si>
    <t>Requiere valoración</t>
  </si>
  <si>
    <t>Propiedad</t>
  </si>
  <si>
    <t>¿Las parejas de los descendientes podrán ser accionistas?</t>
  </si>
  <si>
    <t>Por definir</t>
  </si>
  <si>
    <t>¿Los nietos podrán recibir acciones directamente?</t>
  </si>
  <si>
    <t>Trabajo familiar</t>
  </si>
  <si>
    <t>¿Un familiar puede ser accionista sin trabajar en la empresa?</t>
  </si>
  <si>
    <t>¿Qué requisitos deberá cumplir un familiar para trabajar en la empresa?</t>
  </si>
  <si>
    <t>Matrimonio/unión</t>
  </si>
  <si>
    <t>¿Qué protección se exigirá antes de futuras donaciones o transferencias de acciones?</t>
  </si>
  <si>
    <t>Divorcio/separación</t>
  </si>
  <si>
    <t>¿Qué ocurrirá si unas acciones son adjudicadas a un cónyuge o compañero?</t>
  </si>
  <si>
    <t>Fallecimiento</t>
  </si>
  <si>
    <t>¿Los herederos recibirán acciones o un valor económico?</t>
  </si>
  <si>
    <t>Valoración</t>
  </si>
  <si>
    <t>¿Cómo se determinará el valor de las acciones cuando alguien se retire?</t>
  </si>
  <si>
    <t>Gobierno</t>
  </si>
  <si>
    <t>¿Quién podrá integrar la junta directiva y el Consejo de Familia?</t>
  </si>
  <si>
    <t>Sucesión</t>
  </si>
  <si>
    <t>¿Quién dirigirá las empresas cuando los fundadores se retiren?</t>
  </si>
  <si>
    <t>Dividendos</t>
  </si>
  <si>
    <t>¿Qué porcentaje de utilidades se reinvertirá y cuál podrá distribuirse?</t>
  </si>
  <si>
    <t>Conflictos</t>
  </si>
  <si>
    <t>¿Cuál será el procedimiento para resolver conflictos familiares?</t>
  </si>
  <si>
    <t>08. RESUMEN DE AVANCE Y ALERTAS</t>
  </si>
  <si>
    <t>OBJETIVO: mostrar automáticamente el avance, los documentos pendientes y los riesgos prioritarios. Esta hoja es de consulta; no es necesario diligenciar sus indicadores manualmente.</t>
  </si>
  <si>
    <t>Indicador</t>
  </si>
  <si>
    <t>Total</t>
  </si>
  <si>
    <t>Pendientes/alertas</t>
  </si>
  <si>
    <t>Interpretación</t>
  </si>
  <si>
    <t>Próximos pasos sugeridos</t>
  </si>
  <si>
    <t>Familiares registrados</t>
  </si>
  <si>
    <t>Revisar estados civiles por confirmar.</t>
  </si>
  <si>
    <t>Actividad</t>
  </si>
  <si>
    <t>Tipo</t>
  </si>
  <si>
    <t>Empresas registradas</t>
  </si>
  <si>
    <t>Estatutos pendientes o sin verificar.</t>
  </si>
  <si>
    <t>Completar familia y empresas</t>
  </si>
  <si>
    <t>Prioridad inmediata</t>
  </si>
  <si>
    <t>Participaciones registradas</t>
  </si>
  <si>
    <t>Registros accionarios pendientes.</t>
  </si>
  <si>
    <t>Verificar libros de accionistas y estatutos</t>
  </si>
  <si>
    <t>Documental</t>
  </si>
  <si>
    <t>Bienes relevantes</t>
  </si>
  <si>
    <t>Bienes con prioridad alta o crítica.</t>
  </si>
  <si>
    <t>Revisar estado matrimonial/patrimonial de cada hijo</t>
  </si>
  <si>
    <t>Jurídico familiar</t>
  </si>
  <si>
    <t>Documentos inventariados</t>
  </si>
  <si>
    <t>Documentos inexistentes o por actualizar.</t>
  </si>
  <si>
    <t>Discutir las 12 decisiones base</t>
  </si>
  <si>
    <t>Reunión familiar</t>
  </si>
  <si>
    <t>Riesgos identificados</t>
  </si>
  <si>
    <t>Riesgos que requieren intervención prioritaria.</t>
  </si>
  <si>
    <t>Preparar Protocolo Familiar – Versión 1</t>
  </si>
  <si>
    <t>Después del diagnóstico</t>
  </si>
  <si>
    <t>Decisiones del protocolo</t>
  </si>
  <si>
    <t>Decisiones todavía no acordadas.</t>
  </si>
  <si>
    <t>Semáforo general</t>
  </si>
  <si>
    <t>Nivel</t>
  </si>
  <si>
    <t>Significado</t>
  </si>
  <si>
    <t>Acción</t>
  </si>
  <si>
    <t>Información suficiente o riesgo controlado</t>
  </si>
  <si>
    <t>Mantener y documentar</t>
  </si>
  <si>
    <t>Información incompleta o medida pendiente</t>
  </si>
  <si>
    <t>Revisar</t>
  </si>
  <si>
    <t>Alto/Crítico</t>
  </si>
  <si>
    <t>Puede afectar control, propiedad o continuidad</t>
  </si>
  <si>
    <t>Atención prioritaria</t>
  </si>
  <si>
    <t>ACADEMIA PARA DILIGENCIAR EL PROTOCOLO FAMILIAR</t>
  </si>
  <si>
    <t>EJEMPLO PRÁCTICO – HOJA 03_ACCIONISTAS</t>
  </si>
  <si>
    <t>Vínculo</t>
  </si>
  <si>
    <t>Acciones</t>
  </si>
  <si>
    <t>Utiliza esta guía mientras completas las hojas 01 a 07. Cada campo incluye qué debes escribir, un ejemplo y el motivo por el cual se solicita. No se busca tomar decisiones jurídicas definitivas todavía; el propósito es reunir información cierta y detectar asuntos que deban verificarse.</t>
  </si>
  <si>
    <t>Empresa A S.A.S.</t>
  </si>
  <si>
    <t>Fundador</t>
  </si>
  <si>
    <t>Hijo 1</t>
  </si>
  <si>
    <t>Hijo 2</t>
  </si>
  <si>
    <t>Empresa B S.A.S.</t>
  </si>
  <si>
    <t>Campo</t>
  </si>
  <si>
    <t>Qué debes colocar</t>
  </si>
  <si>
    <t>Ejemplo</t>
  </si>
  <si>
    <t>Objetivo de la pregunta</t>
  </si>
  <si>
    <t>Alerta o recomendación</t>
  </si>
  <si>
    <t>Una persona</t>
  </si>
  <si>
    <t>No debes escribirlo; se genera automáticamente.</t>
  </si>
  <si>
    <t>FAM-001</t>
  </si>
  <si>
    <t>Identificar cada registro sin confundir personas.</t>
  </si>
  <si>
    <t>No borrar la fórmula.</t>
  </si>
  <si>
    <t>Nombre de la persona vinculada a la familia empresaria.</t>
  </si>
  <si>
    <t>Nassif Abuita</t>
  </si>
  <si>
    <t>Construir el mapa familiar.</t>
  </si>
  <si>
    <t>No necesitas registrar cédula.</t>
  </si>
  <si>
    <t>Observa que “Empresa A” se repite tres veces porque tiene tres accionistas. Sus porcentajes suman 100%. “Empresa B” se repite dos veces porque tiene dos accionistas.</t>
  </si>
  <si>
    <t>Relación de la persona con la familia o las empresas.</t>
  </si>
  <si>
    <t>Fundador(a), Hijo(a), Cónyuge</t>
  </si>
  <si>
    <t>Diferenciar descendientes, familia política y terceros.</t>
  </si>
  <si>
    <t>Usa el desplegable.</t>
  </si>
  <si>
    <t>Lugar de la persona dentro de la familia empresaria.</t>
  </si>
  <si>
    <t>Primera, Segunda, Tercera</t>
  </si>
  <si>
    <t>Organizar la sucesión generacional.</t>
  </si>
  <si>
    <t>Fundadores: primera; hijos: segunda; nietos: tercera.</t>
  </si>
  <si>
    <t>Edad actual aproximada.</t>
  </si>
  <si>
    <t>42</t>
  </si>
  <si>
    <t>Planear sucesión, formación y participación.</t>
  </si>
  <si>
    <t>Puede actualizarse posteriormente.</t>
  </si>
  <si>
    <t>Situación civil o de convivencia actual.</t>
  </si>
  <si>
    <t>Casado(a), Unión libre</t>
  </si>
  <si>
    <t>Detectar posibles efectos conyugales o patrimoniales.</t>
  </si>
  <si>
    <t>No supongas; usa “Por confirmar”.</t>
  </si>
  <si>
    <t>Año en que se casó o comenzó la convivencia permanente.</t>
  </si>
  <si>
    <t>2021</t>
  </si>
  <si>
    <t>Relacionar fechas familiares con la adquisición de acciones.</t>
  </si>
  <si>
    <t>Puede ser aproximado inicialmente.</t>
  </si>
  <si>
    <t>Indica si celebró capitulaciones antes del matrimonio o unión.</t>
  </si>
  <si>
    <t>Sí / No / No sabe</t>
  </si>
  <si>
    <t>Saber si existe una protección patrimonial previa.</t>
  </si>
  <si>
    <t>Después se solicitará copia del documento.</t>
  </si>
  <si>
    <t>Indica si fue disuelta y liquidada.</t>
  </si>
  <si>
    <t>Conocer si existe una comunidad patrimonial vigente.</t>
  </si>
  <si>
    <t>No equivale a divorcio necesariamente.</t>
  </si>
  <si>
    <t>Cantidad de descendientes de esa persona.</t>
  </si>
  <si>
    <t>Identificar futuras líneas sucesorales.</t>
  </si>
  <si>
    <t>Incluye todos los hijos reconocidos.</t>
  </si>
  <si>
    <t>Marca si actualmente presta servicios en alguna empresa familiar.</t>
  </si>
  <si>
    <t>Separar propiedad, trabajo y administración.</t>
  </si>
  <si>
    <t>Ser accionista no significa ser empleado.</t>
  </si>
  <si>
    <t>Nombre de la empresa familiar donde trabaja.</t>
  </si>
  <si>
    <t>SKC – SuCasa Inmobiliaria</t>
  </si>
  <si>
    <t>Identificar concentración de familiares por empresa.</t>
  </si>
  <si>
    <t>Déjalo vacío cuando no trabaje en ninguna.</t>
  </si>
  <si>
    <t>Cargo o función real que desempeña.</t>
  </si>
  <si>
    <t>Gerente comercial</t>
  </si>
  <si>
    <t>Evaluar estructura, remuneración y sucesión gerencial.</t>
  </si>
  <si>
    <t>Escribe el cargo actual, no el esperado.</t>
  </si>
  <si>
    <t>Marca si posee acciones o cuotas en alguna empresa.</t>
  </si>
  <si>
    <t>Identificar quién hace parte de la propiedad.</t>
  </si>
  <si>
    <t>El detalle se registra en 03_Accionistas.</t>
  </si>
  <si>
    <t>Indica si interviene en asambleas, juntas o decisiones informales.</t>
  </si>
  <si>
    <t>Distinguir propiedad formal y poder real.</t>
  </si>
  <si>
    <t>Aclara en observaciones cómo participa.</t>
  </si>
  <si>
    <t>Información que ayude a entender casos especiales.</t>
  </si>
  <si>
    <t>Próximo a casarse; no tiene capitulaciones</t>
  </si>
  <si>
    <t>Registrar alertas que no caben en otros campos.</t>
  </si>
  <si>
    <t>Evita opiniones ofensivas o innecesarias.</t>
  </si>
  <si>
    <t>Una empresa o negocio</t>
  </si>
  <si>
    <t>EMP-001</t>
  </si>
  <si>
    <t>Identificar cada empresa.</t>
  </si>
  <si>
    <t>Nombre legal completo registrado.</t>
  </si>
  <si>
    <t>Soluciones Comerciales y Constructivas S.A.S.</t>
  </si>
  <si>
    <t>Relacionar correctamente documentos y accionistas.</t>
  </si>
  <si>
    <t>Debe coincidir con Cámara de Comercio.</t>
  </si>
  <si>
    <t>Nombre con el que se conoce públicamente.</t>
  </si>
  <si>
    <t>Facilitar la identificación cotidiana.</t>
  </si>
  <si>
    <t>Puede ser igual o distinto de la razón social.</t>
  </si>
  <si>
    <t>Forma jurídica de la entidad.</t>
  </si>
  <si>
    <t>Saber qué reglas societarias pueden aplicarse.</t>
  </si>
  <si>
    <t>Usa el certificado de existencia.</t>
  </si>
  <si>
    <t>Año en que fue constituida.</t>
  </si>
  <si>
    <t>2006</t>
  </si>
  <si>
    <t>Entender antigüedad y evolución patrimonial.</t>
  </si>
  <si>
    <t>No confundas con renovación de matrícula.</t>
  </si>
  <si>
    <t>Descripción sencilla de lo que hace.</t>
  </si>
  <si>
    <t>Administración y comercialización inmobiliaria</t>
  </si>
  <si>
    <t>Diferenciar riesgos y funciones dentro del grupo.</t>
  </si>
  <si>
    <t>No copies todo el objeto social.</t>
  </si>
  <si>
    <t>Indica si genera operaciones o principalmente conserva activos.</t>
  </si>
  <si>
    <t>Operativa</t>
  </si>
  <si>
    <t>Separar riesgos empresariales de patrimonio familiar.</t>
  </si>
  <si>
    <t>Puede ser mixta; explícalo en observaciones.</t>
  </si>
  <si>
    <t>Nombre de quien figura formalmente como representante.</t>
  </si>
  <si>
    <t>Identificar responsabilidad y concentración de administración.</t>
  </si>
  <si>
    <t>Verifica suplentes en documentos.</t>
  </si>
  <si>
    <t>Marca si los estatutos contemplan junta y está operando.</t>
  </si>
  <si>
    <t>Sí / No</t>
  </si>
  <si>
    <t>Evaluar el gobierno corporativo.</t>
  </si>
  <si>
    <t>Aclara si existe pero no se reúne.</t>
  </si>
  <si>
    <t>Marca si tiene revisor fiscal.</t>
  </si>
  <si>
    <t>Conocer controles y obligaciones.</t>
  </si>
  <si>
    <t>No confundir con contador.</t>
  </si>
  <si>
    <t>Indica si la sociedad es titular de inmuebles.</t>
  </si>
  <si>
    <t>Detectar patrimonio expuesto a riesgos operativos.</t>
  </si>
  <si>
    <t>El detalle se registra en 04_Patrimonio.</t>
  </si>
  <si>
    <t>Indica si contrata personal directamente.</t>
  </si>
  <si>
    <t>Identificar riesgo laboral y operación real.</t>
  </si>
  <si>
    <t>No incluyas contratistas como empleados.</t>
  </si>
  <si>
    <t>Marca si existen obligaciones relevantes.</t>
  </si>
  <si>
    <t>Conocer compromisos que puedan afectar continuidad o valor.</t>
  </si>
  <si>
    <t>No se solicitan números de cuenta.</t>
  </si>
  <si>
    <t>Indica si existen y reflejan la realidad actual.</t>
  </si>
  <si>
    <t>Determinar si se requiere reforma.</t>
  </si>
  <si>
    <t>Después se revisará la última reforma inscrita.</t>
  </si>
  <si>
    <t>Marca si existe un acuerdo vigente entre accionistas.</t>
  </si>
  <si>
    <t>Conocer reglas privadas ya pactadas.</t>
  </si>
  <si>
    <t>No confundir con actas de asamblea.</t>
  </si>
  <si>
    <t>Indica si la titularidad está registrada correctamente.</t>
  </si>
  <si>
    <t>Verificar quién es accionista jurídicamente.</t>
  </si>
  <si>
    <t>Es un documento prioritario.</t>
  </si>
  <si>
    <t>Valoración inicial de exposición o urgencia.</t>
  </si>
  <si>
    <t>Priorizar la revisión integral.</t>
  </si>
  <si>
    <t>No es una calificación jurídica definitiva.</t>
  </si>
  <si>
    <t>Anota particularidades relevantes.</t>
  </si>
  <si>
    <t>Tiene un inmueble, pero alta operación comercial</t>
  </si>
  <si>
    <t>Conservar contexto para el diagnóstico.</t>
  </si>
  <si>
    <t>Incluye asuntos pendientes de verificar.</t>
  </si>
  <si>
    <t>Una participación: empresa + accionista</t>
  </si>
  <si>
    <t>ACC-001</t>
  </si>
  <si>
    <t>Identificar cada participación.</t>
  </si>
  <si>
    <t>Repite el nombre de la empresa por cada accionista que tenga.</t>
  </si>
  <si>
    <t>Empresa A en tres filas</t>
  </si>
  <si>
    <t>Agrupar correctamente la composición accionaria.</t>
  </si>
  <si>
    <t>No coloques varias empresas en una sola fila.</t>
  </si>
  <si>
    <t>Nombre de la persona o sociedad titular de las acciones.</t>
  </si>
  <si>
    <t>Saber quién tiene la propiedad formal.</t>
  </si>
  <si>
    <t>Debe coincidir con el libro de accionistas.</t>
  </si>
  <si>
    <t>Relación del accionista con la familia fundadora.</t>
  </si>
  <si>
    <t>Fundador(a), Hijo(a), No familiar</t>
  </si>
  <si>
    <t>Diferenciar propiedad familiar y externa.</t>
  </si>
  <si>
    <t>Una sociedad holding puede indicarse como persona jurídica familiar.</t>
  </si>
  <si>
    <t>Cantidad registrada a nombre del accionista.</t>
  </si>
  <si>
    <t>600 acciones</t>
  </si>
  <si>
    <t>Verificar el capital y las participaciones.</t>
  </si>
  <si>
    <t>Usa el dato del libro o certificado interno.</t>
  </si>
  <si>
    <t>Porcentaje de propiedad de ese accionista en esa empresa.</t>
  </si>
  <si>
    <t>60% o 0,60</t>
  </si>
  <si>
    <t>Medir control económico y político.</t>
  </si>
  <si>
    <t>En Excel escribe 60%, no el número 60.</t>
  </si>
  <si>
    <t>Año en que adquirió por primera vez esa participación.</t>
  </si>
  <si>
    <t>2018</t>
  </si>
  <si>
    <t>Comparar la adquisición con matrimonio o convivencia.</t>
  </si>
  <si>
    <t>Aclara ampliaciones posteriores en observaciones.</t>
  </si>
  <si>
    <t>Cómo recibió o adquirió las acciones.</t>
  </si>
  <si>
    <t>Constitución, compra, donación</t>
  </si>
  <si>
    <t>Determinar el origen jurídico y patrimonial.</t>
  </si>
  <si>
    <t>Dinero o valor reconocido al adquirir las acciones.</t>
  </si>
  <si>
    <t>$10.000.000</t>
  </si>
  <si>
    <t>Revisar realidad económica y soportes.</t>
  </si>
  <si>
    <t>Puede dejarse pendiente si no se conoce.</t>
  </si>
  <si>
    <t>Persona o fuente que realmente entregó el dinero o bien.</t>
  </si>
  <si>
    <t>El fundador / recursos propios</t>
  </si>
  <si>
    <t>Detectar donaciones de hecho o aportes de terceros.</t>
  </si>
  <si>
    <t>No basta con saber quién aparece como accionista.</t>
  </si>
  <si>
    <t>Estado de la persona cuando recibió las acciones.</t>
  </si>
  <si>
    <t>Analizar el posible tratamiento familiar de la participación.</t>
  </si>
  <si>
    <t>Debe referirse al momento de adquisición.</t>
  </si>
  <si>
    <t>Marca si tenía convivencia permanente aunque estuviera soltero.</t>
  </si>
  <si>
    <t>Identificar posible sociedad patrimonial.</t>
  </si>
  <si>
    <t>La convivencia puede ser relevante aunque no hubiera matrimonio.</t>
  </si>
  <si>
    <t>Indica si hay contrato, acta, escritura, recibo o soporte.</t>
  </si>
  <si>
    <t>Verificar la cadena de titularidad.</t>
  </si>
  <si>
    <t>Describe el documento en observaciones.</t>
  </si>
  <si>
    <t>Marca si la adquisición fue inscrita en el libro.</t>
  </si>
  <si>
    <t>Confirmar la calidad jurídica de accionista.</t>
  </si>
  <si>
    <t>Una promesa o pago sin registro puede ser insuficiente.</t>
  </si>
  <si>
    <t>Indica si los estatutos limitan venta, cesión o ingreso de terceros.</t>
  </si>
  <si>
    <t>Saber qué protección existe actualmente.</t>
  </si>
  <si>
    <t>Después se revisará el texto exacto.</t>
  </si>
  <si>
    <t>Valor aproximado de la participación hoy.</t>
  </si>
  <si>
    <t>$450.000.000</t>
  </si>
  <si>
    <t>Preparar valoración, sucesión y mecanismos de compra.</t>
  </si>
  <si>
    <t>No uses solo el valor nominal si la empresa ha crecido.</t>
  </si>
  <si>
    <t>Aclara fechas, aumentos, documentos o casos especiales.</t>
  </si>
  <si>
    <t>Recibió 10% por donación y compró 5% después</t>
  </si>
  <si>
    <t>Evitar que una sola cifra o fecha genere confusión.</t>
  </si>
  <si>
    <t>Explica adquisiciones por etapas.</t>
  </si>
  <si>
    <t>Un bien o activo</t>
  </si>
  <si>
    <t>PAT-001</t>
  </si>
  <si>
    <t>Identificar cada activo.</t>
  </si>
  <si>
    <t>Persona o empresa que aparece como propietaria.</t>
  </si>
  <si>
    <t>INVERSKC S.A.S.</t>
  </si>
  <si>
    <t>Distinguir patrimonio personal y societario.</t>
  </si>
  <si>
    <t>Verifica el título cuando sea posible.</t>
  </si>
  <si>
    <t>Clase general del activo.</t>
  </si>
  <si>
    <t>Inmueble, acciones, marca, cartera</t>
  </si>
  <si>
    <t>Clasificar el patrimonio.</t>
  </si>
  <si>
    <t>No registres saldos bancarios detallados.</t>
  </si>
  <si>
    <t>Identificación sencilla del bien.</t>
  </si>
  <si>
    <t>Local comercial en Cartagena</t>
  </si>
  <si>
    <t>Reconocer el activo sin usar datos sensibles.</t>
  </si>
  <si>
    <t>No es necesario poner matrícula completa inicialmente.</t>
  </si>
  <si>
    <t>Ciudad, zona o ubicación general.</t>
  </si>
  <si>
    <t>Cartagena – Bocagrande</t>
  </si>
  <si>
    <t>Identificar jurisdicción y concentración geográfica.</t>
  </si>
  <si>
    <t>No hace falta dirección exacta en esta etapa.</t>
  </si>
  <si>
    <t>Cuándo fue adquirido.</t>
  </si>
  <si>
    <t>2017</t>
  </si>
  <si>
    <t>Relacionarlo con matrimonio, empresa y sucesión.</t>
  </si>
  <si>
    <t>Puede ser aproximado.</t>
  </si>
  <si>
    <t>Compra, donación, herencia, aporte u otra.</t>
  </si>
  <si>
    <t>Determinar origen y documentos necesarios.</t>
  </si>
  <si>
    <t>Usa el desplegable disponible.</t>
  </si>
  <si>
    <t>Valor comercial aproximado actual.</t>
  </si>
  <si>
    <t>$1.200.000.000</t>
  </si>
  <si>
    <t>Medir importancia dentro del patrimonio.</t>
  </si>
  <si>
    <t>Luego podrá requerirse avalúo.</t>
  </si>
  <si>
    <t>Indica si tiene hipoteca, prenda, embargo u otra limitación.</t>
  </si>
  <si>
    <t>Conocer restricciones y riesgos.</t>
  </si>
  <si>
    <t>Explícalo en observaciones.</t>
  </si>
  <si>
    <t>Marca si se usa, arrienda o está aportado a una empresa familiar.</t>
  </si>
  <si>
    <t>Entender dependencia entre activo y operación.</t>
  </si>
  <si>
    <t>No significa necesariamente que la empresa sea propietaria.</t>
  </si>
  <si>
    <t>Nombre de la empresa que utiliza o posee el bien.</t>
  </si>
  <si>
    <t>Relacionar patrimonio con riesgos empresariales.</t>
  </si>
  <si>
    <t>Déjalo vacío si no aplica.</t>
  </si>
  <si>
    <t>Indica si produce arriendos, dividendos o rendimientos.</t>
  </si>
  <si>
    <t>Diferenciar activos productivos y no productivos.</t>
  </si>
  <si>
    <t>No hace falta informar aquí el ingreso exacto.</t>
  </si>
  <si>
    <t>Describe la medida existente.</t>
  </si>
  <si>
    <t>A nombre de sociedad patrimonial</t>
  </si>
  <si>
    <t>Conocer la estructura de protección vigente.</t>
  </si>
  <si>
    <t>No asumas que estar en una sociedad elimina todos los riesgos.</t>
  </si>
  <si>
    <t>Importancia o urgencia de revisión.</t>
  </si>
  <si>
    <t>Priorizar activos estratégicos.</t>
  </si>
  <si>
    <t>Usa Alto/Crítico para bienes esenciales.</t>
  </si>
  <si>
    <t>Incluye copropiedad, usufructo, promesas u otros detalles.</t>
  </si>
  <si>
    <t>Propiedad 50% con un tercero</t>
  </si>
  <si>
    <t>Registrar circunstancias especiales.</t>
  </si>
  <si>
    <t>Evita datos bancarios o claves.</t>
  </si>
  <si>
    <t>Un documento</t>
  </si>
  <si>
    <t>DOC-001</t>
  </si>
  <si>
    <t>Identificar cada documento.</t>
  </si>
  <si>
    <t>A quién corresponde el documento.</t>
  </si>
  <si>
    <t>Hijo 1 / Empresa A</t>
  </si>
  <si>
    <t>Relacionar cada soporte con su titular.</t>
  </si>
  <si>
    <t>Puede ser una persona o una sociedad.</t>
  </si>
  <si>
    <t>Nombre del documento.</t>
  </si>
  <si>
    <t>Estatutos, capitulaciones, testamento</t>
  </si>
  <si>
    <t>Construir el inventario documental.</t>
  </si>
  <si>
    <t>Una fila por cada documento.</t>
  </si>
  <si>
    <t>Marca si el documento fue localizado.</t>
  </si>
  <si>
    <t>Diferenciar ausencia de falta de verificación.</t>
  </si>
  <si>
    <t>No marques Sí sin haberlo visto.</t>
  </si>
  <si>
    <t>Fecha de firma o expedición.</t>
  </si>
  <si>
    <t>15/03/2021</t>
  </si>
  <si>
    <t>Evaluar vigencia y secuencia temporal.</t>
  </si>
  <si>
    <t>Déjalo pendiente si no está disponible.</t>
  </si>
  <si>
    <t>Situación actual del documento.</t>
  </si>
  <si>
    <t>Priorizar actualizaciones.</t>
  </si>
  <si>
    <t>Entidad donde fue otorgado o registrado.</t>
  </si>
  <si>
    <t>Notaría 3 de Cartagena</t>
  </si>
  <si>
    <t>Facilitar la búsqueda y validación.</t>
  </si>
  <si>
    <t>No aplica para todos los documentos.</t>
  </si>
  <si>
    <t>Carpeta física o digital donde está guardado.</t>
  </si>
  <si>
    <t>Drive/Protocolo/Estatutos</t>
  </si>
  <si>
    <t>Evitar pérdida de soportes.</t>
  </si>
  <si>
    <t>No escribas contraseñas.</t>
  </si>
  <si>
    <t>Marca si debe modificarse o renovarse.</t>
  </si>
  <si>
    <t>Programar la implementación jurídica.</t>
  </si>
  <si>
    <t>Puede cambiar después de la revisión profesional.</t>
  </si>
  <si>
    <t>Persona encargada de localizar o solicitar copia.</t>
  </si>
  <si>
    <t>Secretaría de gerencia</t>
  </si>
  <si>
    <t>Asignar seguimiento.</t>
  </si>
  <si>
    <t>Debe ser una persona concreta.</t>
  </si>
  <si>
    <t>Fecha estimada para obtenerlo o actualizarlo.</t>
  </si>
  <si>
    <t>30/08/2026</t>
  </si>
  <si>
    <t>Controlar el avance.</t>
  </si>
  <si>
    <t>Define fechas realistas.</t>
  </si>
  <si>
    <t>Urgencia de obtención o revisión.</t>
  </si>
  <si>
    <t>Atender primero lo crítico.</t>
  </si>
  <si>
    <t>Estatutos y libro de accionistas suelen ser prioritarios.</t>
  </si>
  <si>
    <t>Anota faltantes, versiones o dudas.</t>
  </si>
  <si>
    <t>Solo existe copia sin firmas</t>
  </si>
  <si>
    <t>Conservar detalles de calidad documental.</t>
  </si>
  <si>
    <t>No ocultes incertidumbres.</t>
  </si>
  <si>
    <t>Un riesgo o evento</t>
  </si>
  <si>
    <t>RIE-001</t>
  </si>
  <si>
    <t>Identificar cada riesgo.</t>
  </si>
  <si>
    <t>Quién podría sufrir el efecto.</t>
  </si>
  <si>
    <t>Empresa A / Hijo 1</t>
  </si>
  <si>
    <t>Asignar claramente el alcance.</t>
  </si>
  <si>
    <t>Puede incluir varias partes relacionadas.</t>
  </si>
  <si>
    <t>Nombre breve del posible evento.</t>
  </si>
  <si>
    <t>Divorcio de accionista</t>
  </si>
  <si>
    <t>Clasificar los riesgos.</t>
  </si>
  <si>
    <t>No significa que el evento vaya a ocurrir.</t>
  </si>
  <si>
    <t>Explica cómo podría afectar propiedad, control o continuidad.</t>
  </si>
  <si>
    <t>Posible discusión sobre el valor económico de las acciones</t>
  </si>
  <si>
    <t>Entender la consecuencia concreta.</t>
  </si>
  <si>
    <t>Evita afirmaciones jurídicas definitivas.</t>
  </si>
  <si>
    <t>Estimación inicial de posibilidad.</t>
  </si>
  <si>
    <t>Media</t>
  </si>
  <si>
    <t>Priorizar junto con el impacto.</t>
  </si>
  <si>
    <t>Es una apreciación familiar preliminar.</t>
  </si>
  <si>
    <t>Gravedad si el evento ocurre.</t>
  </si>
  <si>
    <t>Identificar consecuencias relevantes.</t>
  </si>
  <si>
    <t>Considera control, liquidez y operación.</t>
  </si>
  <si>
    <t>Conclusión inicial: bajo, medio, alto o crítico.</t>
  </si>
  <si>
    <t>Ordenar el plan de trabajo.</t>
  </si>
  <si>
    <t>Puede modificarse con asesoría.</t>
  </si>
  <si>
    <t>Acción que podría reducir el riesgo.</t>
  </si>
  <si>
    <t>Revisar estatutos y planear capitulaciones</t>
  </si>
  <si>
    <t>Traducir el diagnóstico en tareas.</t>
  </si>
  <si>
    <t>No debe ejecutarse sin revisión profesional.</t>
  </si>
  <si>
    <t>Instrumento donde podría quedar la solución.</t>
  </si>
  <si>
    <t>Protocolo + estatutos</t>
  </si>
  <si>
    <t>Evitar documentos aislados.</t>
  </si>
  <si>
    <t>Puede requerir más de un documento.</t>
  </si>
  <si>
    <t>Persona que hará seguimiento.</t>
  </si>
  <si>
    <t>Gerencia / abogado societario</t>
  </si>
  <si>
    <t>Asignar ejecución.</t>
  </si>
  <si>
    <t>Usa cargos o nombres claros.</t>
  </si>
  <si>
    <t>Fecha prevista para revisar o resolver.</t>
  </si>
  <si>
    <t>30/09/2026</t>
  </si>
  <si>
    <t>Gestionar prioridades.</t>
  </si>
  <si>
    <t>Ajustable según complejidad.</t>
  </si>
  <si>
    <t>Situación de la gestión.</t>
  </si>
  <si>
    <t>Pendiente, En análisis</t>
  </si>
  <si>
    <t>Controlar avances.</t>
  </si>
  <si>
    <t>Actualízalo periódicamente.</t>
  </si>
  <si>
    <t>Urgencia práctica.</t>
  </si>
  <si>
    <t>Ordenar recursos y reuniones.</t>
  </si>
  <si>
    <t>No todos los riesgos altos requieren la misma fecha.</t>
  </si>
  <si>
    <t>Información complementaria.</t>
  </si>
  <si>
    <t>Accionista próximo a formalizar unión</t>
  </si>
  <si>
    <t>Conservar el contexto.</t>
  </si>
  <si>
    <t>Trata la información con reserva.</t>
  </si>
  <si>
    <t>Una regla o decisión familiar</t>
  </si>
  <si>
    <t>DEC-001</t>
  </si>
  <si>
    <t>Identificar cada decisión.</t>
  </si>
  <si>
    <t>Categoría general de la decisión.</t>
  </si>
  <si>
    <t>Propiedad, sucesión, trabajo familiar</t>
  </si>
  <si>
    <t>Ordenar la discusión.</t>
  </si>
  <si>
    <t>Usa términos sencillos.</t>
  </si>
  <si>
    <t>Asunto que debe responder la familia.</t>
  </si>
  <si>
    <t>¿Las parejas podrán ser accionistas?</t>
  </si>
  <si>
    <t>Hacer explícitos los temas sensibles.</t>
  </si>
  <si>
    <t>Todavía no es la cláusula jurídica final.</t>
  </si>
  <si>
    <t>Alternativa inicial que se someterá a conversación.</t>
  </si>
  <si>
    <t>No ingresan automáticamente; reciben valor económico</t>
  </si>
  <si>
    <t>Facilitar el debate.</t>
  </si>
  <si>
    <t>Debe ser razonable y legalmente revisable.</t>
  </si>
  <si>
    <t>Resultado de la conversación.</t>
  </si>
  <si>
    <t>Sí, No, Por definir</t>
  </si>
  <si>
    <t>Distinguir propuestas de acuerdos.</t>
  </si>
  <si>
    <t>No marques Sí hasta que exista consenso suficiente.</t>
  </si>
  <si>
    <t>Indica si la decisión debe aparecer en el protocolo.</t>
  </si>
  <si>
    <t>Construir el documento maestro.</t>
  </si>
  <si>
    <t>Casi todas las reglas familiares irán aquí.</t>
  </si>
  <si>
    <t>Marca si debe tener efecto societario formal.</t>
  </si>
  <si>
    <t>Dar eficacia dentro de la sociedad.</t>
  </si>
  <si>
    <t>No todo lo familiar pertenece a estatutos.</t>
  </si>
  <si>
    <t>Marca si requiere pacto privado entre accionistas.</t>
  </si>
  <si>
    <t>Regular voto, compra, venta o coordinación.</t>
  </si>
  <si>
    <t>Debe armonizarse con estatutos.</t>
  </si>
  <si>
    <t>Marca si requiere actuación patrimonial de una pareja.</t>
  </si>
  <si>
    <t>Relacionar la decisión con la situación de cada hijo.</t>
  </si>
  <si>
    <t>Requiere consentimiento de la pareja.</t>
  </si>
  <si>
    <t>Marca si debe respaldarse con planeación sucesoral.</t>
  </si>
  <si>
    <t>Coordinar fallecimiento y transmisión de acciones.</t>
  </si>
  <si>
    <t>El protocolo no reemplaza el testamento.</t>
  </si>
  <si>
    <t>Marca si necesita una regla operativa interna.</t>
  </si>
  <si>
    <t>Convertir principios en procedimientos.</t>
  </si>
  <si>
    <t>Ejemplo: política de empleo familiar.</t>
  </si>
  <si>
    <t>Indica si necesita calcular empresas o participaciones.</t>
  </si>
  <si>
    <t>Preparar compras, salidas o compensaciones.</t>
  </si>
  <si>
    <t>La metodología se acordará después.</t>
  </si>
  <si>
    <t>Persona encargada de desarrollar la decisión.</t>
  </si>
  <si>
    <t>Consejo de Familia / abogado</t>
  </si>
  <si>
    <t>Puede haber varios responsables.</t>
  </si>
  <si>
    <t>Fecha estimada para decidir o implementar.</t>
  </si>
  <si>
    <t>15/10/2026</t>
  </si>
  <si>
    <t>Mantener el proyecto activo.</t>
  </si>
  <si>
    <t>No debe ser una fecha imposible.</t>
  </si>
  <si>
    <t>Pendiente, en discusión, aprobada o implementada.</t>
  </si>
  <si>
    <t>En discusión</t>
  </si>
  <si>
    <t>Controlar el avance real.</t>
  </si>
  <si>
    <t>Aprobada no significa todavía implementada.</t>
  </si>
  <si>
    <t>Comentarios, desacuerdos o condiciones.</t>
  </si>
  <si>
    <t>Revisar trato de nietos menores</t>
  </si>
  <si>
    <t>Conservar puntos pendientes.</t>
  </si>
  <si>
    <t>Registra también posiciones minoritarias.</t>
  </si>
  <si>
    <t>Nassif Abuita Nassar</t>
  </si>
  <si>
    <t>Primera Generacion</t>
  </si>
  <si>
    <t>Soluciones Comerciales y Cosntructuvas S.A.S</t>
  </si>
  <si>
    <t>Representante Legal</t>
  </si>
  <si>
    <t>si</t>
  </si>
  <si>
    <t>Gloria Maria Correa Rivera</t>
  </si>
  <si>
    <t>Representante Legal Suplente</t>
  </si>
  <si>
    <t>Segunda Generacion</t>
  </si>
  <si>
    <t>Gerente Comercial</t>
  </si>
  <si>
    <t>Karam Nassif Abuita Correa</t>
  </si>
  <si>
    <t>Traditun S.A.S</t>
  </si>
  <si>
    <t xml:space="preserve">Soluciones Comerciales y Constructivas </t>
  </si>
  <si>
    <t xml:space="preserve">Diseños y Soluciones Creativas </t>
  </si>
  <si>
    <t>DSC</t>
  </si>
  <si>
    <t>Patrimonial</t>
  </si>
  <si>
    <t>ciiu 6820 -Actividades inmobiliarias realizadas a cambio de una retribución o por contrata. Incluye los servicios de bienes raíces prestados por terceros.</t>
  </si>
  <si>
    <t xml:space="preserve">Prestamos Bancarios </t>
  </si>
  <si>
    <t>Sk&amp;c</t>
  </si>
  <si>
    <t>Definir las siglas que cambia a SK&amp;C-SuCasa Inmobiliaria. No contamos con Junta directiva: Los Organos de direccion es la Asamblea General</t>
  </si>
  <si>
    <t>Said  Latif Abuita Correa</t>
  </si>
  <si>
    <t>Si</t>
  </si>
  <si>
    <t>No Posee</t>
  </si>
  <si>
    <t>Empresa Patrimonial ,No tiene operaciones comerciales , solo maneja 2 contratos de terceros que no se han podido trasladar a Soluciones Comerciales y Constructivas  y el ingreso por el alquiler del inmueble propio</t>
  </si>
  <si>
    <t>01. Constitución y existencia de las empresas</t>
  </si>
  <si>
    <t>Documento de constitución de la sociedad</t>
  </si>
  <si>
    <t>Acta de constitución</t>
  </si>
  <si>
    <t>Estatutos sociales vigentes</t>
  </si>
  <si>
    <t>Reforma estatutaria inicial</t>
  </si>
  <si>
    <t>Última reforma estatutaria</t>
  </si>
  <si>
    <t>Histórico de reformas estatutarias</t>
  </si>
  <si>
    <t>Certificado de existencia y representación legal</t>
  </si>
  <si>
    <t>Registro Único Tributario – RUT</t>
  </si>
  <si>
    <t>Matrícula mercantil</t>
  </si>
  <si>
    <t>Documento de renovación de matrícula mercantil</t>
  </si>
  <si>
    <t>Objeto social vigente</t>
  </si>
  <si>
    <t>Certificación de actividad económica</t>
  </si>
  <si>
    <t>Documento de transformación societaria</t>
  </si>
  <si>
    <t>Documento de fusión</t>
  </si>
  <si>
    <t>Documento de escisión</t>
  </si>
  <si>
    <t>Documento de disolución de la sociedad</t>
  </si>
  <si>
    <t>Documento de liquidación de la sociedad</t>
  </si>
  <si>
    <t>02. Libros, actas y órganos societarios</t>
  </si>
  <si>
    <t>Libro de actas de asamblea general de accionistas</t>
  </si>
  <si>
    <t>Libro de actas de junta directiva</t>
  </si>
  <si>
    <t>Libro de registro de accionistas</t>
  </si>
  <si>
    <t>Actas de asamblea general de accionistas</t>
  </si>
  <si>
    <t>Actas de reuniones extraordinarias de accionistas</t>
  </si>
  <si>
    <t>Actas de junta directiva</t>
  </si>
  <si>
    <t>Reglamento de la asamblea de accionistas</t>
  </si>
  <si>
    <t>Reglamento de junta directiva</t>
  </si>
  <si>
    <t>Acta de nombramiento de representante legal</t>
  </si>
  <si>
    <t>Acta de nombramiento de junta directiva</t>
  </si>
  <si>
    <t>Acta de aceptación del cargo</t>
  </si>
  <si>
    <t>Carta de renuncia de administrador</t>
  </si>
  <si>
    <t>Certificación de composición accionaria</t>
  </si>
  <si>
    <t>Certificación expedida por representante legal</t>
  </si>
  <si>
    <t>Certificación expedida por revisor fiscal</t>
  </si>
  <si>
    <t>03. Acciones, cuotas y participaciones</t>
  </si>
  <si>
    <t>Títulos de acciones</t>
  </si>
  <si>
    <t>Certificados de acciones</t>
  </si>
  <si>
    <t>Documento de suscripción de acciones</t>
  </si>
  <si>
    <t>Reglamento de emisión y colocación de acciones</t>
  </si>
  <si>
    <t>Documento de capitalización</t>
  </si>
  <si>
    <t>Documento de adquisición de acciones</t>
  </si>
  <si>
    <t>Contrato de compraventa de acciones</t>
  </si>
  <si>
    <t>Promesa de compraventa de acciones</t>
  </si>
  <si>
    <t>Contrato de cesión de acciones</t>
  </si>
  <si>
    <t>Contrato de donación de acciones</t>
  </si>
  <si>
    <t>Documento de aceptación de donación</t>
  </si>
  <si>
    <t>Documento de transferencia de acciones</t>
  </si>
  <si>
    <t>Documento de adjudicación de acciones</t>
  </si>
  <si>
    <t>Registro de transferencia en el libro de accionistas</t>
  </si>
  <si>
    <t>Soporte de pago o aporte de acciones</t>
  </si>
  <si>
    <t>Documento de readquisición de acciones</t>
  </si>
  <si>
    <t>Documento de cancelación de acciones</t>
  </si>
  <si>
    <t>Documento de conversión de acciones</t>
  </si>
  <si>
    <t>Documento de usufructo de acciones</t>
  </si>
  <si>
    <t>Documento de nuda propiedad de acciones</t>
  </si>
  <si>
    <t>Documento de prenda sobre acciones</t>
  </si>
  <si>
    <t>Documento de liberación de prenda sobre acciones</t>
  </si>
  <si>
    <t>04. Restricciones, negociación y acuerdos entre accionistas</t>
  </si>
  <si>
    <t>Pacto de socios</t>
  </si>
  <si>
    <t>Autorización para negociación de acciones</t>
  </si>
  <si>
    <t>Oferta de venta de acciones</t>
  </si>
  <si>
    <t>Ejercicio del derecho de preferencia</t>
  </si>
  <si>
    <t>Renuncia al derecho de preferencia</t>
  </si>
  <si>
    <t>Opción de compra de acciones</t>
  </si>
  <si>
    <t>Opción de venta de acciones</t>
  </si>
  <si>
    <t>Derecho de primera oferta</t>
  </si>
  <si>
    <t>Derecho de primera negociación</t>
  </si>
  <si>
    <t>Acuerdo de permanencia accionaria</t>
  </si>
  <si>
    <t>Acuerdo de voto</t>
  </si>
  <si>
    <t>Acuerdo de sindicación de acciones</t>
  </si>
  <si>
    <t>Acuerdo de confidencialidad entre accionistas</t>
  </si>
  <si>
    <t>Acuerdo de no competencia</t>
  </si>
  <si>
    <t>Restricción estatutaria a la negociación de acciones</t>
  </si>
  <si>
    <t>Procedimiento de ingreso de nuevos accionistas</t>
  </si>
  <si>
    <t>Procedimiento de retiro de accionistas</t>
  </si>
  <si>
    <t>Procedimiento de compra de acciones por divorcio</t>
  </si>
  <si>
    <t>Procedimiento de compra de acciones por fallecimiento</t>
  </si>
  <si>
    <t>Procedimiento de compra de acciones por incapacidad</t>
  </si>
  <si>
    <t>05. Información financiera, contable y tributaria</t>
  </si>
  <si>
    <t>Estados financieros del último año</t>
  </si>
  <si>
    <t>Estados financieros históricos</t>
  </si>
  <si>
    <t>Estado de situación financiera</t>
  </si>
  <si>
    <t>Estado de resultados</t>
  </si>
  <si>
    <t>Estado de flujo de efectivo</t>
  </si>
  <si>
    <t>Estado de cambios en el patrimonio</t>
  </si>
  <si>
    <t>Notas a los estados financieros</t>
  </si>
  <si>
    <t>Certificación de estados financieros</t>
  </si>
  <si>
    <t>Dictamen del revisor fiscal</t>
  </si>
  <si>
    <t>Declaración de renta de la sociedad</t>
  </si>
  <si>
    <t>Declaraciones tributarias relevantes</t>
  </si>
  <si>
    <t>Información exógena</t>
  </si>
  <si>
    <t>Conciliación fiscal</t>
  </si>
  <si>
    <t>Informe de cartera y obligaciones</t>
  </si>
  <si>
    <t>Relación de activos y pasivos</t>
  </si>
  <si>
    <t>Relación de contingencias judiciales</t>
  </si>
  <si>
    <t>Relación de garantías otorgadas</t>
  </si>
  <si>
    <t>Relación de créditos y obligaciones financieras</t>
  </si>
  <si>
    <t>Relación de cuentas por cobrar</t>
  </si>
  <si>
    <t>Relación de cuentas por pagar</t>
  </si>
  <si>
    <t>Documento de cuenta por cobrar a accionista</t>
  </si>
  <si>
    <t>Documento de cuenta por pagar a accionista</t>
  </si>
  <si>
    <t>Informe de operaciones con vinculados</t>
  </si>
  <si>
    <t>Informe de partes relacionadas</t>
  </si>
  <si>
    <t>Presupuesto anual</t>
  </si>
  <si>
    <t>Flujo de caja proyectado</t>
  </si>
  <si>
    <t>06. Valoración de empresas y acciones</t>
  </si>
  <si>
    <t>Avalúo o valoración de la empresa</t>
  </si>
  <si>
    <t>Valoración patrimonial contable</t>
  </si>
  <si>
    <t>Valoración patrimonial ajustada</t>
  </si>
  <si>
    <t>Valoración de acciones o participaciones</t>
  </si>
  <si>
    <t>Valor intrínseco por acción</t>
  </si>
  <si>
    <t>Valor comercial de acciones</t>
  </si>
  <si>
    <t>Informe financiero de valoración</t>
  </si>
  <si>
    <t>Valoración por flujo de caja descontado</t>
  </si>
  <si>
    <t>Valoración por múltiplos</t>
  </si>
  <si>
    <t>Valoración de activos</t>
  </si>
  <si>
    <t>Valoración de intangibles</t>
  </si>
  <si>
    <t>Valoración de marca</t>
  </si>
  <si>
    <t>Valoración de cartera</t>
  </si>
  <si>
    <t>Informe de perito independiente</t>
  </si>
  <si>
    <t>Concepto de valoración</t>
  </si>
  <si>
    <t>Metodología de valoración de acciones</t>
  </si>
  <si>
    <t>Política de valoración y compra de acciones</t>
  </si>
  <si>
    <t>07. Bienes inmuebles y patrimonio material</t>
  </si>
  <si>
    <t>Certificado de tradición y libertad de inmueble</t>
  </si>
  <si>
    <t>Escritura pública de adquisición de inmueble</t>
  </si>
  <si>
    <t>Contrato de compraventa de inmueble</t>
  </si>
  <si>
    <t>Promesa de compraventa de inmueble</t>
  </si>
  <si>
    <t>Documento de adjudicación de inmueble</t>
  </si>
  <si>
    <t>Avalúo comercial de inmueble</t>
  </si>
  <si>
    <t>Avalúo catastral de inmueble</t>
  </si>
  <si>
    <t>Recibo del impuesto predial</t>
  </si>
  <si>
    <t>Certificado catastral</t>
  </si>
  <si>
    <t>Contrato de arrendamiento de inmueble</t>
  </si>
  <si>
    <t>Documento de propiedad de vehículos</t>
  </si>
  <si>
    <t>Tarjeta de propiedad de vehículos</t>
  </si>
  <si>
    <t>Inventario de maquinaria y equipos</t>
  </si>
  <si>
    <t>Inventario de muebles y enseres</t>
  </si>
  <si>
    <t>Documento de propiedad de otros activos</t>
  </si>
  <si>
    <t>Relación de inmuebles familiares</t>
  </si>
  <si>
    <t>Relación de inmuebles societarios</t>
  </si>
  <si>
    <t>Relación de bienes en copropiedad</t>
  </si>
  <si>
    <t>Documento de hipoteca</t>
  </si>
  <si>
    <t>Documento de levantamiento de hipoteca</t>
  </si>
  <si>
    <t>Documento de embargo</t>
  </si>
  <si>
    <t>Documento de levantamiento de embargo</t>
  </si>
  <si>
    <t>08. Marcas, propiedad intelectual e intangibles</t>
  </si>
  <si>
    <t>Certificado de registro de marca</t>
  </si>
  <si>
    <t>Solicitud de registro de marca</t>
  </si>
  <si>
    <t>Documento de propiedad de marca</t>
  </si>
  <si>
    <t>Contrato de licencia de marca</t>
  </si>
  <si>
    <t>Contrato de cesión de marca</t>
  </si>
  <si>
    <t>Documento de propiedad intelectual</t>
  </si>
  <si>
    <t>Registro de derechos de autor</t>
  </si>
  <si>
    <t>Contrato de licencia de software</t>
  </si>
  <si>
    <t>Contrato de cesión de derechos de autor</t>
  </si>
  <si>
    <t>Documento de propiedad de dominio web</t>
  </si>
  <si>
    <t>Inventario de activos intangibles</t>
  </si>
  <si>
    <t>Valoración de propiedad intelectual</t>
  </si>
  <si>
    <t>Acuerdo de confidencialidad</t>
  </si>
  <si>
    <t>Acuerdo de protección de secretos empresariales</t>
  </si>
  <si>
    <t>09. Protocolo familiar y gobierno de la familia</t>
  </si>
  <si>
    <t>Protocolo de familia</t>
  </si>
  <si>
    <t>Borrador del protocolo de familia</t>
  </si>
  <si>
    <t>Acta de aprobación del protocolo de familia</t>
  </si>
  <si>
    <t>Documento de adhesión al protocolo de familia</t>
  </si>
  <si>
    <t>Documento de actualización del protocolo de familia</t>
  </si>
  <si>
    <t>Acta de reunión familiar</t>
  </si>
  <si>
    <t>Acta de Asamblea de Familia</t>
  </si>
  <si>
    <t>Acta del Consejo de Familia</t>
  </si>
  <si>
    <t>Reglamento del Consejo de Familia</t>
  </si>
  <si>
    <t>Reglamento de la Asamblea de Familia</t>
  </si>
  <si>
    <t>Árbol genealógico familiar</t>
  </si>
  <si>
    <t>Mapa de la familia empresaria</t>
  </si>
  <si>
    <t>Mapa societario</t>
  </si>
  <si>
    <t>Mapa de composición accionaria</t>
  </si>
  <si>
    <t>Mapa patrimonial</t>
  </si>
  <si>
    <t>Matriz de riesgos familiares</t>
  </si>
  <si>
    <t>Matriz de riesgos societarios</t>
  </si>
  <si>
    <t>Matriz de riesgos sucesorales</t>
  </si>
  <si>
    <t>Matriz de implementación jurídica</t>
  </si>
  <si>
    <t>Código de ética familiar y empresarial</t>
  </si>
  <si>
    <t>Manual de gobierno corporativo</t>
  </si>
  <si>
    <t>Manual de administración del patrimonio familiar</t>
  </si>
  <si>
    <t>Plan de formación de nuevas generaciones</t>
  </si>
  <si>
    <t>Plan de comunicación familiar</t>
  </si>
  <si>
    <t>10. Políticas familiares y empresariales</t>
  </si>
  <si>
    <t>Política de empleo de familiares</t>
  </si>
  <si>
    <t>Política de ingreso de familiares a la empresa</t>
  </si>
  <si>
    <t>Política salarial para familiares</t>
  </si>
  <si>
    <t>Política de evaluación de familiares</t>
  </si>
  <si>
    <t>Política de ascenso de familiares</t>
  </si>
  <si>
    <t>Política de retiro de familiares</t>
  </si>
  <si>
    <t>Política de dividendos</t>
  </si>
  <si>
    <t>Política de reinversión de utilidades</t>
  </si>
  <si>
    <t>Política de préstamos a familiares</t>
  </si>
  <si>
    <t>Política de ayudas familiares</t>
  </si>
  <si>
    <t>Política de uso de bienes de la empresa</t>
  </si>
  <si>
    <t>Política de vehículos empresariales</t>
  </si>
  <si>
    <t>Política de gastos personales</t>
  </si>
  <si>
    <t>Política de operaciones con partes relacionadas</t>
  </si>
  <si>
    <t>Política de conflictos de interés</t>
  </si>
  <si>
    <t>Política de confidencialidad</t>
  </si>
  <si>
    <t>Política de no competencia</t>
  </si>
  <si>
    <t>Política de solución de conflictos</t>
  </si>
  <si>
    <t>Política de ingreso de nuevos accionistas</t>
  </si>
  <si>
    <t>Política de retiro de accionistas</t>
  </si>
  <si>
    <t>Política de sucesión gerencial</t>
  </si>
  <si>
    <t>Política de sucesión accionaria</t>
  </si>
  <si>
    <t>Política de venta de activos estratégicos</t>
  </si>
  <si>
    <t>Política de endeudamiento</t>
  </si>
  <si>
    <t>Política de garantías otorgadas por la empresa</t>
  </si>
  <si>
    <t>11. Estado civil, matrimonio y unión marital</t>
  </si>
  <si>
    <t>Registro civil de nacimiento</t>
  </si>
  <si>
    <t>Registro civil de matrimonio</t>
  </si>
  <si>
    <t>Registro civil de defunción</t>
  </si>
  <si>
    <t>Documento de identidad</t>
  </si>
  <si>
    <t>Capitulaciones matrimoniales</t>
  </si>
  <si>
    <t>Capitulaciones maritales</t>
  </si>
  <si>
    <t>Escritura pública de capitulaciones</t>
  </si>
  <si>
    <t>Modificación de capitulaciones</t>
  </si>
  <si>
    <t>Inventario anexo a capitulaciones</t>
  </si>
  <si>
    <t>Declaración de unión marital de hecho</t>
  </si>
  <si>
    <t>Escritura de declaración de unión marital de hecho</t>
  </si>
  <si>
    <t>Sentencia de declaración de unión marital de hecho</t>
  </si>
  <si>
    <t>Documento de constitución de sociedad patrimonial</t>
  </si>
  <si>
    <t>Escritura de disolución de sociedad patrimonial</t>
  </si>
  <si>
    <t>Escritura de liquidación de sociedad patrimonial</t>
  </si>
  <si>
    <t>Sentencia de disolución y liquidación de sociedad patrimonial</t>
  </si>
  <si>
    <t>Escritura de disolución de sociedad conyugal</t>
  </si>
  <si>
    <t>Escritura de liquidación de sociedad conyugal</t>
  </si>
  <si>
    <t>Sentencia de divorcio</t>
  </si>
  <si>
    <t>Sentencia de separación de bienes</t>
  </si>
  <si>
    <t>Acta de conciliación sobre bienes</t>
  </si>
  <si>
    <t>Acuerdo patrimonial entre cónyuges</t>
  </si>
  <si>
    <t>Acuerdo patrimonial entre compañeros permanentes</t>
  </si>
  <si>
    <t>Inventario de bienes propios</t>
  </si>
  <si>
    <t>Inventario de bienes sociales</t>
  </si>
  <si>
    <t>Inventario de bienes personales</t>
  </si>
  <si>
    <t>Certificación de estado civil</t>
  </si>
  <si>
    <t>12. Sucesiones y testamentos</t>
  </si>
  <si>
    <t>Testamento abierto</t>
  </si>
  <si>
    <t>Testamento cerrado</t>
  </si>
  <si>
    <t>Copia auténtica del testamento</t>
  </si>
  <si>
    <t>Escritura pública de testamento</t>
  </si>
  <si>
    <t>Modificación de testamento</t>
  </si>
  <si>
    <t>Revocatoria de testamento</t>
  </si>
  <si>
    <t>Inventario sucesoral</t>
  </si>
  <si>
    <t>Trabajo de partición y adjudicación</t>
  </si>
  <si>
    <t>Escritura de sucesión</t>
  </si>
  <si>
    <t>Sentencia de sucesión</t>
  </si>
  <si>
    <t>Acta de adjudicación de herencia</t>
  </si>
  <si>
    <t>Documento de aceptación de herencia</t>
  </si>
  <si>
    <t>Documento de repudio de herencia</t>
  </si>
  <si>
    <t>Certificado de derechos sucesorales</t>
  </si>
  <si>
    <t>Cesión de derechos herenciales</t>
  </si>
  <si>
    <t>Contrato de compraventa de derechos herenciales</t>
  </si>
  <si>
    <t>Acuerdo entre herederos</t>
  </si>
  <si>
    <t>Documento de designación de albacea</t>
  </si>
  <si>
    <t>Documento de aceptación del cargo de albacea</t>
  </si>
  <si>
    <t>Documento de designación de tutor</t>
  </si>
  <si>
    <t>Documento de designación de curador</t>
  </si>
  <si>
    <t>Plan de sucesión accionaria</t>
  </si>
  <si>
    <t>Plan de sucesión patrimonial</t>
  </si>
  <si>
    <t>Plan de sucesión gerencial</t>
  </si>
  <si>
    <t>Inventario de herederos</t>
  </si>
  <si>
    <t>Registro civil de los herederos</t>
  </si>
  <si>
    <t>13. Donaciones, usufructos y estructuras fiduciarias</t>
  </si>
  <si>
    <t>Contrato de donación</t>
  </si>
  <si>
    <t>Escritura pública de donación</t>
  </si>
  <si>
    <t>Documento de donación de acciones</t>
  </si>
  <si>
    <t>Documento de donación de inmueble</t>
  </si>
  <si>
    <t>Documento de donación con condiciones</t>
  </si>
  <si>
    <t>Documento de donación con reserva de usufructo</t>
  </si>
  <si>
    <t>Documento de constitución de usufructo</t>
  </si>
  <si>
    <t>Documento de reserva de usufructo</t>
  </si>
  <si>
    <t>Documento de terminación de usufructo</t>
  </si>
  <si>
    <t>Documento de nuda propiedad</t>
  </si>
  <si>
    <t>Fideicomiso civil</t>
  </si>
  <si>
    <t>Contrato de fiducia mercantil</t>
  </si>
  <si>
    <t>Patrimonio autónomo</t>
  </si>
  <si>
    <t>Encargo fiduciario</t>
  </si>
  <si>
    <t>Reglamento fiduciario</t>
  </si>
  <si>
    <t>Certificado de derechos fiduciarios</t>
  </si>
  <si>
    <t>Contrato de administración fiduciaria</t>
  </si>
  <si>
    <t>Documento de instrucciones fiduciarias</t>
  </si>
  <si>
    <t>Informe de la fiduciaria</t>
  </si>
  <si>
    <t>15. Administración, representación y poderes</t>
  </si>
  <si>
    <t>Poder general</t>
  </si>
  <si>
    <t>Poder especial</t>
  </si>
  <si>
    <t>Autorización para representación de accionista</t>
  </si>
  <si>
    <t>Documento de instrucciones en caso de incapacidad</t>
  </si>
  <si>
    <t>Documento de designación de suplente</t>
  </si>
  <si>
    <t>Acta de nombramiento de representante legal suplente</t>
  </si>
  <si>
    <t>Declaración de conflicto de interés</t>
  </si>
  <si>
    <t>Certificado de antecedentes de administradores</t>
  </si>
  <si>
    <t>Informe de gestión del representante legal</t>
  </si>
  <si>
    <t>Reglamento de funciones del representante legal</t>
  </si>
  <si>
    <t>Documento de delegación de funciones</t>
  </si>
  <si>
    <t>Documento de límites de autorización</t>
  </si>
  <si>
    <t>16. Familiares que trabajan en la empresa</t>
  </si>
  <si>
    <t>Contrato laboral de familiar</t>
  </si>
  <si>
    <t>Contrato de prestación de servicios de familiar</t>
  </si>
  <si>
    <t>Descripción del cargo de familiar</t>
  </si>
  <si>
    <t>Manual de funciones de familiar</t>
  </si>
  <si>
    <t>Hoja de vida del familiar</t>
  </si>
  <si>
    <t>Soportes académicos del familiar</t>
  </si>
  <si>
    <t>Evaluación de desempeño de familiar</t>
  </si>
  <si>
    <t>Plan de formación del familiar</t>
  </si>
  <si>
    <t>Plan de carrera del familiar</t>
  </si>
  <si>
    <t>Documento de remuneración del familiar</t>
  </si>
  <si>
    <t>Acuerdo de confidencialidad del familiar</t>
  </si>
  <si>
    <t>Acuerdo de no competencia del familiar</t>
  </si>
  <si>
    <t>Declaración de conflicto de interés del familiar</t>
  </si>
  <si>
    <t>Autorización para operaciones con familiares</t>
  </si>
  <si>
    <t>Documento de retiro del familiar</t>
  </si>
  <si>
    <t>Liquidación laboral del familiar</t>
  </si>
  <si>
    <t>17. Contratos entre familiares, accionistas y empresas</t>
  </si>
  <si>
    <t>Contrato entre la sociedad y un familiar</t>
  </si>
  <si>
    <t>Contrato de arrendamiento entre familiar y empresa</t>
  </si>
  <si>
    <t>Contrato de préstamo entre familiar y empresa</t>
  </si>
  <si>
    <t>Contrato de compraventa entre familiar y empresa</t>
  </si>
  <si>
    <t>Contrato de prestación de servicios entre familiar y empresa</t>
  </si>
  <si>
    <t>Contrato de mandato entre familiar y empresa</t>
  </si>
  <si>
    <t>Contrato de usufructo entre familiar y empresa</t>
  </si>
  <si>
    <t>Contrato de cesión entre familiar y empresa</t>
  </si>
  <si>
    <t>Autorización de operación con parte relacionada</t>
  </si>
  <si>
    <t>Acta de aprobación de operación con parte relacionada</t>
  </si>
  <si>
    <t>Estudio de condiciones de mercado</t>
  </si>
  <si>
    <t>18. Riesgos, litigios y contingencias</t>
  </si>
  <si>
    <t>Relación de procesos judiciales</t>
  </si>
  <si>
    <t>Relación de procesos administrativos</t>
  </si>
  <si>
    <t>Relación de procesos tributarios</t>
  </si>
  <si>
    <t>Relación de procesos laborales</t>
  </si>
  <si>
    <t>Relación de contingencias</t>
  </si>
  <si>
    <t>Demanda judicial</t>
  </si>
  <si>
    <t>Contestación de demanda</t>
  </si>
  <si>
    <t>Sentencia judicial</t>
  </si>
  <si>
    <t>Acuerdo de conciliación</t>
  </si>
  <si>
    <t>Laudo arbitral</t>
  </si>
  <si>
    <t>Contrato de transacción</t>
  </si>
  <si>
    <t>Documento de secuestro</t>
  </si>
  <si>
    <t>Documento de medida cautelar</t>
  </si>
  <si>
    <t>Informe de riesgos legales</t>
  </si>
  <si>
    <t>Informe de riesgos societarios</t>
  </si>
  <si>
    <t>Informe de riesgos familiares</t>
  </si>
  <si>
    <t>Informe de riesgos sucesorales</t>
  </si>
  <si>
    <t>Plan de tratamiento de riesgos</t>
  </si>
  <si>
    <t>19. Conceptos, auditorías y asesorías profesionales</t>
  </si>
  <si>
    <t>Concepto jurídico societario</t>
  </si>
  <si>
    <t>Concepto jurídico de familia</t>
  </si>
  <si>
    <t>Concepto jurídico sucesoral</t>
  </si>
  <si>
    <t>Concepto tributario</t>
  </si>
  <si>
    <t>Concepto contable</t>
  </si>
  <si>
    <t>Concepto financiero</t>
  </si>
  <si>
    <t>Informe de debida diligencia</t>
  </si>
  <si>
    <t>Informe de auditoría jurídica</t>
  </si>
  <si>
    <t>Informe de auditoría societaria</t>
  </si>
  <si>
    <t>Informe de auditoría patrimonial</t>
  </si>
  <si>
    <t>Informe de auditoría contable</t>
  </si>
  <si>
    <t>Informe de auditoría tributaria</t>
  </si>
  <si>
    <t>Informe de auditoría laboral</t>
  </si>
  <si>
    <t>Informe de auditoría de gobierno corporativo</t>
  </si>
  <si>
    <t>Informe de revisión de estatutos</t>
  </si>
  <si>
    <t>Informe de revisión del libro de accionistas</t>
  </si>
  <si>
    <t>Informe de planeación sucesoral</t>
  </si>
  <si>
    <t>Informe de planeación patrimonial</t>
  </si>
  <si>
    <t>20. Implementación y control documental</t>
  </si>
  <si>
    <t>Plan integral de implementación</t>
  </si>
  <si>
    <t>Cronograma de implementación</t>
  </si>
  <si>
    <t>Matriz de responsables</t>
  </si>
  <si>
    <t>Matriz de documentos pendientes</t>
  </si>
  <si>
    <t>Lista de chequeo documental</t>
  </si>
  <si>
    <t>Acta de entrega de documentos</t>
  </si>
  <si>
    <t>Inventario general de documentos</t>
  </si>
  <si>
    <t>Índice del archivo familiar</t>
  </si>
  <si>
    <t>Índice del archivo societario</t>
  </si>
  <si>
    <t>Constancia de inexistencia del documento</t>
  </si>
  <si>
    <t>Documento pendiente de localizar</t>
  </si>
  <si>
    <t>Documento pendiente de actualización</t>
  </si>
  <si>
    <t>Documento no aplicable</t>
  </si>
  <si>
    <t>Solicitud de copia de documento</t>
  </si>
  <si>
    <t>Copia simple del documento</t>
  </si>
  <si>
    <t>Copia auténtica del documento</t>
  </si>
  <si>
    <t>Versión preliminar</t>
  </si>
  <si>
    <t>Versión aprobada</t>
  </si>
  <si>
    <t>Versión firmada</t>
  </si>
  <si>
    <t>Versión registrada</t>
  </si>
  <si>
    <t>Otro documento</t>
  </si>
  <si>
    <t>Estructura recomendada para las carpetas</t>
  </si>
  <si>
    <t>01_Constitucion_y_existencia</t>
  </si>
  <si>
    <t>02_Libros_actas_y_organos</t>
  </si>
  <si>
    <t>03_Acciones_y_participaciones</t>
  </si>
  <si>
    <t>04_Acuerdos_y_restricciones</t>
  </si>
  <si>
    <t>05_Financiero_contable_tributario</t>
  </si>
  <si>
    <t>06_Valoraciones</t>
  </si>
  <si>
    <t>07_Inmuebles_y_activos</t>
  </si>
  <si>
    <t>08_Marcas_e_intangibles</t>
  </si>
  <si>
    <t>09_Protocolo_y_gobierno_familiar</t>
  </si>
  <si>
    <t>10_Politicas_familiares</t>
  </si>
  <si>
    <t>11_Estado_civil_y_capitulaciones</t>
  </si>
  <si>
    <t>12_Sucesiones_y_testamentos</t>
  </si>
  <si>
    <t>13_Donaciones_usufructos_y_fiducias</t>
  </si>
  <si>
    <t>14_Seguros</t>
  </si>
  <si>
    <t>15_Administracion_y_poderes</t>
  </si>
  <si>
    <t>16_Familiares_trabajadores</t>
  </si>
  <si>
    <t>17_Contratos_con_familiares</t>
  </si>
  <si>
    <t>18_Riesgos_y_litigios</t>
  </si>
  <si>
    <t>19_Conceptos_y_auditorias</t>
  </si>
  <si>
    <t>20_Implementacion_y_control</t>
  </si>
  <si>
    <t>Adjud. Liquid. comunidad</t>
  </si>
  <si>
    <t>Categoria</t>
  </si>
  <si>
    <t>04. INVENTARIO MAESTRO DE ACTIVOS FAMILIARES Y EMPRESARIALES</t>
  </si>
  <si>
    <t>Categoría auxiliar</t>
  </si>
  <si>
    <t>Subcategoría auxiliar</t>
  </si>
  <si>
    <t>Lista única de categorías</t>
  </si>
  <si>
    <t>Bienes inmuebles</t>
  </si>
  <si>
    <t>Apartamento</t>
  </si>
  <si>
    <t>OBJETIVO: consolidar todos los activos personales, familiares y empresariales. REGLA: una fila representa un activo. No registres claves, números bancarios completos ni información innecesariamente sensible. Los valores pueden ser preliminares y luego actualizarse con documentos o avalúos.</t>
  </si>
  <si>
    <t>Casa</t>
  </si>
  <si>
    <t>Acciones, cuotas y participaciones societarias</t>
  </si>
  <si>
    <t>IDENTIFICACIÓN DEL ACTIVO</t>
  </si>
  <si>
    <t>TITULARIDAD Y RELACIÓN FAMILIAR</t>
  </si>
  <si>
    <t>ADQUISICIÓN Y ORIGEN PATRIMONIAL</t>
  </si>
  <si>
    <t>IDENTIFICACIÓN ESPECÍFICA Y UBICACIÓN</t>
  </si>
  <si>
    <t>VALORACIÓN, DEUDA Y RENTABILIDAD</t>
  </si>
  <si>
    <t>CLASIFICACIÓN ESTRATÉGICA</t>
  </si>
  <si>
    <t>ESTADO JURÍDICO Y LIMITACIONES</t>
  </si>
  <si>
    <t>SEGUROS</t>
  </si>
  <si>
    <t>DOCUMENTOS Y CONTROL</t>
  </si>
  <si>
    <t>PLANEACIÓN SUCESORAL</t>
  </si>
  <si>
    <t>RIESGO, SEGUIMIENTO Y OBSERVACIONES</t>
  </si>
  <si>
    <t>Local comercial</t>
  </si>
  <si>
    <t>Inversiones financieras y títulos valores</t>
  </si>
  <si>
    <t>Código del activo</t>
  </si>
  <si>
    <t>Categoría</t>
  </si>
  <si>
    <t>Subcategoría (depende de la categoría)</t>
  </si>
  <si>
    <t>Nombre corto</t>
  </si>
  <si>
    <t>Descripción completa</t>
  </si>
  <si>
    <t>Ámbito patrimonial</t>
  </si>
  <si>
    <t>Tipo de titular</t>
  </si>
  <si>
    <t>Titular legal</t>
  </si>
  <si>
    <t>Beneficiario económico</t>
  </si>
  <si>
    <t>Generación familiar</t>
  </si>
  <si>
    <t>% de propiedad</t>
  </si>
  <si>
    <t>Copropietarios</t>
  </si>
  <si>
    <t>% de otros propietarios</t>
  </si>
  <si>
    <t>Fecha de adquisición</t>
  </si>
  <si>
    <t>Valor original</t>
  </si>
  <si>
    <t>Moneda</t>
  </si>
  <si>
    <t>Fuente de recursos</t>
  </si>
  <si>
    <t>Quién aportó realmente</t>
  </si>
  <si>
    <t>Convivía al adquirir</t>
  </si>
  <si>
    <t>Clasificación patrimonial</t>
  </si>
  <si>
    <t>Identificador principal</t>
  </si>
  <si>
    <t>Identificador secundario</t>
  </si>
  <si>
    <t>Ubicación general</t>
  </si>
  <si>
    <t>Valor contable</t>
  </si>
  <si>
    <t>Valor fiscal</t>
  </si>
  <si>
    <t>Valor comercial estimado</t>
  </si>
  <si>
    <t>Fecha última valoración</t>
  </si>
  <si>
    <t>Método de valoración</t>
  </si>
  <si>
    <t>Fuente / avaluador</t>
  </si>
  <si>
    <t>Deuda o saldo pendiente</t>
  </si>
  <si>
    <t>Valor neto estimado</t>
  </si>
  <si>
    <t>Ingreso anual</t>
  </si>
  <si>
    <t>Gasto anual</t>
  </si>
  <si>
    <t>Ingreso neto anual</t>
  </si>
  <si>
    <t>Rentabilidad neta</t>
  </si>
  <si>
    <t>Activo productivo</t>
  </si>
  <si>
    <t>Activo estratégico</t>
  </si>
  <si>
    <t>Nivel de liquidez</t>
  </si>
  <si>
    <t>Estado físico</t>
  </si>
  <si>
    <t>Estado jurídico</t>
  </si>
  <si>
    <t>Tipo de gravamen</t>
  </si>
  <si>
    <t>Acreedor o beneficiario</t>
  </si>
  <si>
    <t>Tiene seguro</t>
  </si>
  <si>
    <t>Compañía aseguradora</t>
  </si>
  <si>
    <t>Valor asegurado</t>
  </si>
  <si>
    <t>Vencimiento del seguro</t>
  </si>
  <si>
    <t>Documento principal de propiedad</t>
  </si>
  <si>
    <t>Estado del soporte</t>
  </si>
  <si>
    <t>Carpeta digital creada</t>
  </si>
  <si>
    <t>Restricción para transferir</t>
  </si>
  <si>
    <t>Destino sucesoral propuesto</t>
  </si>
  <si>
    <t>Beneficiario sucesoral propuesto</t>
  </si>
  <si>
    <t>Fecha última revisión</t>
  </si>
  <si>
    <t>Responsable de actualización</t>
  </si>
  <si>
    <t>Oficina</t>
  </si>
  <si>
    <t>Dinero en caja y cuentas bancarias</t>
  </si>
  <si>
    <t>Consultorio</t>
  </si>
  <si>
    <t>Cuentas por cobrar y cartera</t>
  </si>
  <si>
    <t>Bodega</t>
  </si>
  <si>
    <t>Inventarios y mercancías</t>
  </si>
  <si>
    <t>Lote urbano</t>
  </si>
  <si>
    <t>Vehículos y equipos de transporte</t>
  </si>
  <si>
    <t>Lote rural</t>
  </si>
  <si>
    <t>Maquinaria, equipos y herramientas</t>
  </si>
  <si>
    <t>Finca</t>
  </si>
  <si>
    <t>Muebles, enseres y equipos de oficina</t>
  </si>
  <si>
    <t>Edificio</t>
  </si>
  <si>
    <t>Equipos tecnológicos</t>
  </si>
  <si>
    <t>Parqueadero</t>
  </si>
  <si>
    <t>Marcas y propiedad intelectual</t>
  </si>
  <si>
    <t>Depósito</t>
  </si>
  <si>
    <t>Software, dominios y activos digitales</t>
  </si>
  <si>
    <t>Hotel</t>
  </si>
  <si>
    <t>Derechos fiduciarios y patrimonios autónomos</t>
  </si>
  <si>
    <t>Inmueble industrial</t>
  </si>
  <si>
    <t>Derechos contractuales y concesiones</t>
  </si>
  <si>
    <t>Inmueble de uso especial</t>
  </si>
  <si>
    <t>Proyectos y construcciones en curso</t>
  </si>
  <si>
    <t>Derecho sobre inmueble</t>
  </si>
  <si>
    <t>Mejoras en bienes ajenos</t>
  </si>
  <si>
    <t>Otro inmueble</t>
  </si>
  <si>
    <t>Activos por derecho de uso</t>
  </si>
  <si>
    <t>Acciones ordinarias</t>
  </si>
  <si>
    <t>Obras de arte, joyas y colecciones</t>
  </si>
  <si>
    <t>Acciones privilegiadas</t>
  </si>
  <si>
    <t>Activos agrícolas y pecuarios</t>
  </si>
  <si>
    <t>Acciones con dividendo preferencial</t>
  </si>
  <si>
    <t>Activos tributarios</t>
  </si>
  <si>
    <t>Acciones sin derecho a voto</t>
  </si>
  <si>
    <t>Seguros con valor económico</t>
  </si>
  <si>
    <t>Cuotas sociales</t>
  </si>
  <si>
    <t>Derechos de usufructo y nuda propiedad</t>
  </si>
  <si>
    <t>Participación en S.A.S.</t>
  </si>
  <si>
    <t>Derechos herenciales</t>
  </si>
  <si>
    <t>Participación en S.A.</t>
  </si>
  <si>
    <t>Derechos posesorios</t>
  </si>
  <si>
    <t>Participación en Ltda.</t>
  </si>
  <si>
    <t>Derechos litigiosos</t>
  </si>
  <si>
    <t>Participación en sociedad extranjera</t>
  </si>
  <si>
    <t>Licencias, permisos y autorizaciones</t>
  </si>
  <si>
    <t>Participación indirecta mediante holding</t>
  </si>
  <si>
    <t>Otros activos</t>
  </si>
  <si>
    <t>Derechos económicos</t>
  </si>
  <si>
    <t>Derechos políticos</t>
  </si>
  <si>
    <t>Nuda propiedad de acciones</t>
  </si>
  <si>
    <t>Usufructo de acciones</t>
  </si>
  <si>
    <t>Otra participación societaria</t>
  </si>
  <si>
    <t>CDT</t>
  </si>
  <si>
    <t>Bono</t>
  </si>
  <si>
    <t>Acción cotizada en bolsa</t>
  </si>
  <si>
    <t>ETF</t>
  </si>
  <si>
    <t>Fondo de inversión colectiva</t>
  </si>
  <si>
    <t>Fondo voluntario de pensiones</t>
  </si>
  <si>
    <t>Encargo fiduciario de inversión</t>
  </si>
  <si>
    <t>Título de deuda privada</t>
  </si>
  <si>
    <t>Título de deuda pública</t>
  </si>
  <si>
    <t>Pagaré de inversión</t>
  </si>
  <si>
    <t>Criptomoneda</t>
  </si>
  <si>
    <t>Depósito a término</t>
  </si>
  <si>
    <t>Cuenta de inversión</t>
  </si>
  <si>
    <t>Otra inversión financiera</t>
  </si>
  <si>
    <t>Caja general</t>
  </si>
  <si>
    <t>Caja menor</t>
  </si>
  <si>
    <t>Cuenta corriente</t>
  </si>
  <si>
    <t>Cuenta de ahorros</t>
  </si>
  <si>
    <t>Cuenta de nómina</t>
  </si>
  <si>
    <t>Cuenta de compensación</t>
  </si>
  <si>
    <t>Cuenta en moneda extranjera</t>
  </si>
  <si>
    <t>Depósito restringido</t>
  </si>
  <si>
    <t>Efectivo en custodia</t>
  </si>
  <si>
    <t>Otra disponibilidad</t>
  </si>
  <si>
    <t>Cartera comercial</t>
  </si>
  <si>
    <t>Cartera de arrendamientos</t>
  </si>
  <si>
    <t>Préstamo a accionista</t>
  </si>
  <si>
    <t>Préstamo a empleado</t>
  </si>
  <si>
    <t>Préstamo a tercero</t>
  </si>
  <si>
    <t>Cuenta por cobrar a vinculada</t>
  </si>
  <si>
    <t>Anticipo a proveedor</t>
  </si>
  <si>
    <t>Cuenta por cobrar judicial</t>
  </si>
  <si>
    <t>Cuenta por cobrar con garantía</t>
  </si>
  <si>
    <t>Intereses por cobrar</t>
  </si>
  <si>
    <t>Honorarios por cobrar</t>
  </si>
  <si>
    <t>Otra cuenta por cobrar</t>
  </si>
  <si>
    <t>Materia prima</t>
  </si>
  <si>
    <t>Producto en proceso</t>
  </si>
  <si>
    <t>Producto terminado</t>
  </si>
  <si>
    <t>Mercancía para la venta</t>
  </si>
  <si>
    <t>Materiales y suministros</t>
  </si>
  <si>
    <t>Repuestos</t>
  </si>
  <si>
    <t>Inventario inmobiliario</t>
  </si>
  <si>
    <t>Inventario en consignación</t>
  </si>
  <si>
    <t>Inventario obsoleto</t>
  </si>
  <si>
    <t>Otro inventario</t>
  </si>
  <si>
    <t>Automóvil</t>
  </si>
  <si>
    <t>Camioneta</t>
  </si>
  <si>
    <t>Motocicleta</t>
  </si>
  <si>
    <t>Camión</t>
  </si>
  <si>
    <t>Bus</t>
  </si>
  <si>
    <t>Remolque</t>
  </si>
  <si>
    <t>Maquinaria amarilla</t>
  </si>
  <si>
    <t>Embarcación</t>
  </si>
  <si>
    <t>Bicicleta</t>
  </si>
  <si>
    <t>Vehículo eléctrico</t>
  </si>
  <si>
    <t>Vehículo en leasing</t>
  </si>
  <si>
    <t>Otro equipo de transporte</t>
  </si>
  <si>
    <t>Maquinaria industrial</t>
  </si>
  <si>
    <t>Equipo de construcción</t>
  </si>
  <si>
    <t>Equipo eléctrico</t>
  </si>
  <si>
    <t>Equipo hidráulico</t>
  </si>
  <si>
    <t>Equipo de refrigeración</t>
  </si>
  <si>
    <t>Equipo de medición</t>
  </si>
  <si>
    <t>Herramienta mayor</t>
  </si>
  <si>
    <t>Herramienta menor</t>
  </si>
  <si>
    <t>Equipo de seguridad</t>
  </si>
  <si>
    <t>Planta eléctrica</t>
  </si>
  <si>
    <t>Ascensor o montacargas</t>
  </si>
  <si>
    <t>Otro equipo operativo</t>
  </si>
  <si>
    <t>Escritorio</t>
  </si>
  <si>
    <t>Silla</t>
  </si>
  <si>
    <t>Archivador</t>
  </si>
  <si>
    <t>Mesa</t>
  </si>
  <si>
    <t>Mueble de recepción</t>
  </si>
  <si>
    <t>Estantería</t>
  </si>
  <si>
    <t>Aire acondicionado</t>
  </si>
  <si>
    <t>Televisor</t>
  </si>
  <si>
    <t>Electrodoméstico</t>
  </si>
  <si>
    <t>Equipo de oficina</t>
  </si>
  <si>
    <t>Decoración</t>
  </si>
  <si>
    <t>Otro mueble o enser</t>
  </si>
  <si>
    <t>Computador portátil</t>
  </si>
  <si>
    <t>Computador de escritorio</t>
  </si>
  <si>
    <t>Servidor</t>
  </si>
  <si>
    <t>Monitor</t>
  </si>
  <si>
    <t>Impresora</t>
  </si>
  <si>
    <t>Escáner</t>
  </si>
  <si>
    <t>Celular</t>
  </si>
  <si>
    <t>Tableta</t>
  </si>
  <si>
    <t>Router</t>
  </si>
  <si>
    <t>Switch</t>
  </si>
  <si>
    <t>Equipo de comunicaciones</t>
  </si>
  <si>
    <t>Cámara de seguridad</t>
  </si>
  <si>
    <t>UPS</t>
  </si>
  <si>
    <t>Dispositivo de almacenamiento</t>
  </si>
  <si>
    <t>Otro equipo tecnológico</t>
  </si>
  <si>
    <t>Marca nominativa</t>
  </si>
  <si>
    <t>Marca mixta</t>
  </si>
  <si>
    <t>Marca figurativa</t>
  </si>
  <si>
    <t>Lema comercial</t>
  </si>
  <si>
    <t>Patente</t>
  </si>
  <si>
    <t>Modelo de utilidad</t>
  </si>
  <si>
    <t>Diseño industrial</t>
  </si>
  <si>
    <t>Derecho de autor</t>
  </si>
  <si>
    <t>Obra escrita</t>
  </si>
  <si>
    <t>Fotografía</t>
  </si>
  <si>
    <t>Video</t>
  </si>
  <si>
    <t>Manual o metodología</t>
  </si>
  <si>
    <t>Base de datos</t>
  </si>
  <si>
    <t>Know-how</t>
  </si>
  <si>
    <t>Secreto empresarial</t>
  </si>
  <si>
    <t>Otra propiedad intelectual</t>
  </si>
  <si>
    <t>Software propio</t>
  </si>
  <si>
    <t>Software licenciado</t>
  </si>
  <si>
    <t>Aplicación web</t>
  </si>
  <si>
    <t>Aplicación móvil</t>
  </si>
  <si>
    <t>Código fuente</t>
  </si>
  <si>
    <t>Base de datos digital</t>
  </si>
  <si>
    <t>Dominio web</t>
  </si>
  <si>
    <t>Página web</t>
  </si>
  <si>
    <t>Cuenta en plataforma digital</t>
  </si>
  <si>
    <t>Repositorio de código</t>
  </si>
  <si>
    <t>Contenido digital</t>
  </si>
  <si>
    <t>Licencia digital</t>
  </si>
  <si>
    <t>Activo virtual</t>
  </si>
  <si>
    <t>Otro activo digital</t>
  </si>
  <si>
    <t>Derecho fiduciario inmobiliario</t>
  </si>
  <si>
    <t>Derecho fiduciario de inversión</t>
  </si>
  <si>
    <t>Derecho fiduciario de garantía</t>
  </si>
  <si>
    <t>Fiducia mercantil</t>
  </si>
  <si>
    <t>Participación en fondo fiduciario</t>
  </si>
  <si>
    <t>Otro derecho fiduciario</t>
  </si>
  <si>
    <t>Contrato de arrendamiento favorable</t>
  </si>
  <si>
    <t>Contrato de administración</t>
  </si>
  <si>
    <t>Contrato de mandato</t>
  </si>
  <si>
    <t>Contrato de concesión</t>
  </si>
  <si>
    <t>Franquicia</t>
  </si>
  <si>
    <t>Contrato de distribución</t>
  </si>
  <si>
    <t>Contrato de suministro</t>
  </si>
  <si>
    <t>Contrato de exclusividad</t>
  </si>
  <si>
    <t>Derecho de comercialización</t>
  </si>
  <si>
    <t>Derecho de explotación</t>
  </si>
  <si>
    <t>Opción contractual</t>
  </si>
  <si>
    <t>Promesa contractual</t>
  </si>
  <si>
    <t>Otro derecho contractual</t>
  </si>
  <si>
    <t>Proyecto inmobiliario</t>
  </si>
  <si>
    <t>Construcción en curso</t>
  </si>
  <si>
    <t>Remodelación en curso</t>
  </si>
  <si>
    <t>Ampliación en curso</t>
  </si>
  <si>
    <t>Urbanización</t>
  </si>
  <si>
    <t>Proyecto de infraestructura</t>
  </si>
  <si>
    <t>Proyecto tecnológico</t>
  </si>
  <si>
    <t>Proyecto empresarial</t>
  </si>
  <si>
    <t>Obra suspendida</t>
  </si>
  <si>
    <t>Proyecto en estructuración</t>
  </si>
  <si>
    <t>Otro proyecto</t>
  </si>
  <si>
    <t>Adecuación locativa</t>
  </si>
  <si>
    <t>Remodelación</t>
  </si>
  <si>
    <t>Construcción sobre bien ajeno</t>
  </si>
  <si>
    <t>Instalación técnica</t>
  </si>
  <si>
    <t>Mejora eléctrica</t>
  </si>
  <si>
    <t>Mejora hidráulica</t>
  </si>
  <si>
    <t>Mejora estructural</t>
  </si>
  <si>
    <t>Mejora tecnológica</t>
  </si>
  <si>
    <t>Otra mejora</t>
  </si>
  <si>
    <t>Inmueble arrendado</t>
  </si>
  <si>
    <t>Vehículo arrendado</t>
  </si>
  <si>
    <t>Maquinaria en leasing</t>
  </si>
  <si>
    <t>Equipo tecnológico arrendado</t>
  </si>
  <si>
    <t>GUÍA RÁPIDA PARA CAMPOS ESPECIALES</t>
  </si>
  <si>
    <t>Licencia de uso</t>
  </si>
  <si>
    <t>Dato que individualiza el activo: matrícula inmobiliaria, placa, NIT de sociedad, número de título, contrato, marca o cuenta enmascarada.</t>
  </si>
  <si>
    <t>Otro derecho de uso</t>
  </si>
  <si>
    <t>Dato adicional: referencia catastral, VIN, número de certificado, clase de marca, número de póliza u otro.</t>
  </si>
  <si>
    <t>Pintura</t>
  </si>
  <si>
    <t>Valor actual aproximado. Indica en “Método de valoración” si proviene de avalúo, balance, mercado o estimación.</t>
  </si>
  <si>
    <t>Escultura</t>
  </si>
  <si>
    <t>Se calcula automáticamente: valor comercial menos deuda o saldo pendiente.</t>
  </si>
  <si>
    <t>Fotografía artística</t>
  </si>
  <si>
    <t>Se calcula automáticamente: ingresos anuales menos gastos anuales.</t>
  </si>
  <si>
    <t>Antigüedad</t>
  </si>
  <si>
    <t>Se calcula automáticamente: ingreso neto anual dividido por valor comercial estimado.</t>
  </si>
  <si>
    <t>Joya</t>
  </si>
  <si>
    <t>Indica si el activo es propio, social/ganancial, empresarial, copropiedad o está pendiente de determinar.</t>
  </si>
  <si>
    <t>Reloj</t>
  </si>
  <si>
    <t>Idea preliminar sobre qué debería ocurrir con el activo al fallecimiento; no reemplaza testamento ni asesoría jurídica.</t>
  </si>
  <si>
    <t>Moneda de colección</t>
  </si>
  <si>
    <t>Estampilla de colección</t>
  </si>
  <si>
    <t>IMPORTANTE: primero selecciona la CATEGORÍA en la columna B. Después abre el desplegable de SUBCATEGORÍA en la columna C; Excel mostrará únicamente las opciones correspondientes a la categoría escogida. Las listas auxiliares están en las columnas BL:BO de esta misma hoja para que no se pierdan al copiarla.</t>
  </si>
  <si>
    <t>Colección histórica</t>
  </si>
  <si>
    <t>Objeto decorativo valioso</t>
  </si>
  <si>
    <t>Otro bien de colección</t>
  </si>
  <si>
    <t>Cultivo permanente</t>
  </si>
  <si>
    <t>Cultivo transitorio</t>
  </si>
  <si>
    <t>Plantación forestal</t>
  </si>
  <si>
    <t>Ganado bovino</t>
  </si>
  <si>
    <t>Ganado porcino</t>
  </si>
  <si>
    <t>Ganado ovino o caprino</t>
  </si>
  <si>
    <t>Aves</t>
  </si>
  <si>
    <t>Equinos</t>
  </si>
  <si>
    <t>Peces</t>
  </si>
  <si>
    <t>Semovientes</t>
  </si>
  <si>
    <t>Producción agrícola</t>
  </si>
  <si>
    <t>Otro activo biológico</t>
  </si>
  <si>
    <t>Saldo a favor en renta</t>
  </si>
  <si>
    <t>Saldo a favor en IVA</t>
  </si>
  <si>
    <t>Retención a favor</t>
  </si>
  <si>
    <t>Anticipo tributario</t>
  </si>
  <si>
    <t>Impuesto diferido activo</t>
  </si>
  <si>
    <t>Pérdida fiscal compensable</t>
  </si>
  <si>
    <t>Crédito fiscal</t>
  </si>
  <si>
    <t>Descuento tributario</t>
  </si>
  <si>
    <t>Pago en exceso</t>
  </si>
  <si>
    <t>Pago de lo no debido</t>
  </si>
  <si>
    <t>Otro activo tributario</t>
  </si>
  <si>
    <t>Seguro de vida con ahorro</t>
  </si>
  <si>
    <t>Seguro dotal</t>
  </si>
  <si>
    <t>Seguro con valor de rescate</t>
  </si>
  <si>
    <t>Póliza de hombre clave</t>
  </si>
  <si>
    <t>Póliza de socios</t>
  </si>
  <si>
    <t>Seguro de inversión</t>
  </si>
  <si>
    <t>Derecho a indemnización reconocida</t>
  </si>
  <si>
    <t>Otro seguro con valor económico</t>
  </si>
  <si>
    <t>Usufructo de inmueble</t>
  </si>
  <si>
    <t>Nuda propiedad de inmueble</t>
  </si>
  <si>
    <t>Usufructo de renta</t>
  </si>
  <si>
    <t>Derecho de habitación</t>
  </si>
  <si>
    <t>Derecho de uso</t>
  </si>
  <si>
    <t>Otro derecho desmembrado</t>
  </si>
  <si>
    <t>Derechos herenciales en sucesión notarial</t>
  </si>
  <si>
    <t>Derechos herenciales en sucesión judicial</t>
  </si>
  <si>
    <t>Cuota hereditaria determinada</t>
  </si>
  <si>
    <t>Herencia pendiente de adjudicación</t>
  </si>
  <si>
    <t>Legado</t>
  </si>
  <si>
    <t>Otro derecho sucesoral</t>
  </si>
  <si>
    <t>Posesión de inmueble urbano</t>
  </si>
  <si>
    <t>Posesión de inmueble rural</t>
  </si>
  <si>
    <t>Posesión de lote</t>
  </si>
  <si>
    <t>Posesión con mejoras</t>
  </si>
  <si>
    <t>Posesión en proceso de pertenencia</t>
  </si>
  <si>
    <t>Posesión sin proceso</t>
  </si>
  <si>
    <t>Otro derecho posesorio</t>
  </si>
  <si>
    <t>Derecho litigioso civil</t>
  </si>
  <si>
    <t>Derecho litigioso comercial</t>
  </si>
  <si>
    <t>Derecho litigioso laboral</t>
  </si>
  <si>
    <t>Derecho litigioso administrativo</t>
  </si>
  <si>
    <t>Derecho litigioso tributario</t>
  </si>
  <si>
    <t>Crédito en litigio</t>
  </si>
  <si>
    <t>Propiedad en litigio</t>
  </si>
  <si>
    <t>Participación societaria en litigio</t>
  </si>
  <si>
    <t>Otro derecho litigioso</t>
  </si>
  <si>
    <t>Licencia de construcción</t>
  </si>
  <si>
    <t>Licencia urbanística</t>
  </si>
  <si>
    <t>Licencia ambiental</t>
  </si>
  <si>
    <t>Registro sanitario</t>
  </si>
  <si>
    <t>Permiso de operación</t>
  </si>
  <si>
    <t>Concesión administrativa</t>
  </si>
  <si>
    <t>Autorización de uso</t>
  </si>
  <si>
    <t>Licencia de funcionamiento</t>
  </si>
  <si>
    <t>Habilitación sectorial</t>
  </si>
  <si>
    <t>Registro profesional o empresarial</t>
  </si>
  <si>
    <t>Otra licencia o permiso</t>
  </si>
  <si>
    <t>Anticipo entregado</t>
  </si>
  <si>
    <t>Depósito en garantía</t>
  </si>
  <si>
    <t>Derecho de recompra</t>
  </si>
  <si>
    <t>Opción de compra</t>
  </si>
  <si>
    <t>Beneficio económico futuro</t>
  </si>
  <si>
    <t>Activo en proceso de identificación</t>
  </si>
  <si>
    <t>Activo contingente</t>
  </si>
  <si>
    <t>Otro activo no clasificado</t>
  </si>
  <si>
    <t>Compartido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</si>
</sst>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$#,##0"/>
    <numFmt numFmtId="165" formatCode="dd/mm/yyyy"/>
    <numFmt numFmtId="166" formatCode="_-* #,##0_-;\-* #,##0_-;_-* &quot;-&quot;??_-;_-@_-"/>
  </numFmts>
  <fonts count="1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11"/>
      <color rgb="FF1F1F1F"/>
      <name val="Carlito"/>
    </font>
    <font>
      <i/>
      <sz val="11"/>
      <color rgb="FF666666"/>
      <name val="Carlito"/>
    </font>
    <font>
      <b/>
      <sz val="10"/>
      <color rgb="FF17365D"/>
      <name val="Carlito"/>
    </font>
    <font>
      <sz val="11"/>
      <color rgb="FF17365D"/>
      <name val="Carlito"/>
    </font>
    <font>
      <sz val="10"/>
      <color rgb="FF1F1F1F"/>
      <name val="Carlito"/>
    </font>
    <font>
      <sz val="11"/>
      <name val="Carlito"/>
    </font>
    <font>
      <sz val="10"/>
      <color rgb="FF000000"/>
      <name val="Arial"/>
      <family val="2"/>
    </font>
    <font>
      <sz val="8"/>
      <color rgb="FF000000"/>
      <name val="Segoe UI"/>
      <family val="2"/>
    </font>
    <font>
      <sz val="9"/>
      <color rgb="FF666666"/>
      <name val="Carlito"/>
    </font>
    <font>
      <b/>
      <sz val="10"/>
      <color rgb="FFFFFFFF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D9E1F2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/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1" fontId="4" fillId="6" borderId="5" xfId="0" applyNumberFormat="1" applyFont="1" applyFill="1" applyBorder="1" applyAlignment="1">
      <alignment vertical="center" wrapText="1"/>
    </xf>
    <xf numFmtId="1" fontId="4" fillId="6" borderId="0" xfId="0" applyNumberFormat="1" applyFont="1" applyFill="1" applyAlignment="1">
      <alignment vertical="center" wrapText="1"/>
    </xf>
    <xf numFmtId="1" fontId="4" fillId="6" borderId="10" xfId="0" applyNumberFormat="1" applyFont="1" applyFill="1" applyBorder="1" applyAlignment="1">
      <alignment vertical="center" wrapText="1"/>
    </xf>
    <xf numFmtId="10" fontId="4" fillId="6" borderId="0" xfId="0" applyNumberFormat="1" applyFont="1" applyFill="1" applyAlignment="1">
      <alignment vertical="center" wrapText="1"/>
    </xf>
    <xf numFmtId="10" fontId="4" fillId="6" borderId="10" xfId="0" applyNumberFormat="1" applyFont="1" applyFill="1" applyBorder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164" fontId="4" fillId="6" borderId="10" xfId="0" applyNumberFormat="1" applyFont="1" applyFill="1" applyBorder="1" applyAlignment="1">
      <alignment vertical="center" wrapText="1"/>
    </xf>
    <xf numFmtId="165" fontId="4" fillId="6" borderId="5" xfId="0" applyNumberFormat="1" applyFont="1" applyFill="1" applyBorder="1" applyAlignment="1">
      <alignment vertical="center" wrapText="1"/>
    </xf>
    <xf numFmtId="165" fontId="4" fillId="6" borderId="0" xfId="0" applyNumberFormat="1" applyFont="1" applyFill="1" applyAlignment="1">
      <alignment vertical="center" wrapText="1"/>
    </xf>
    <xf numFmtId="165" fontId="4" fillId="6" borderId="10" xfId="0" applyNumberFormat="1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9" borderId="9" xfId="0" applyFont="1" applyFill="1" applyBorder="1" applyAlignment="1">
      <alignment vertical="center" wrapText="1"/>
    </xf>
    <xf numFmtId="0" fontId="5" fillId="0" borderId="0" xfId="0" applyFont="1"/>
    <xf numFmtId="0" fontId="1" fillId="12" borderId="0" xfId="0" applyFont="1" applyFill="1" applyAlignment="1">
      <alignment horizontal="center" vertical="center" wrapText="1"/>
    </xf>
    <xf numFmtId="0" fontId="4" fillId="13" borderId="13" xfId="0" applyFont="1" applyFill="1" applyBorder="1" applyAlignment="1">
      <alignment vertical="top" wrapText="1"/>
    </xf>
    <xf numFmtId="0" fontId="4" fillId="13" borderId="14" xfId="0" applyFont="1" applyFill="1" applyBorder="1" applyAlignment="1">
      <alignment vertical="top" wrapText="1"/>
    </xf>
    <xf numFmtId="0" fontId="4" fillId="13" borderId="15" xfId="0" applyFont="1" applyFill="1" applyBorder="1" applyAlignment="1">
      <alignment vertical="top" wrapText="1"/>
    </xf>
    <xf numFmtId="0" fontId="4" fillId="13" borderId="16" xfId="0" applyFont="1" applyFill="1" applyBorder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4" fillId="13" borderId="17" xfId="0" applyFont="1" applyFill="1" applyBorder="1" applyAlignment="1">
      <alignment vertical="top" wrapText="1"/>
    </xf>
    <xf numFmtId="0" fontId="4" fillId="13" borderId="18" xfId="0" applyFont="1" applyFill="1" applyBorder="1" applyAlignment="1">
      <alignment vertical="top" wrapText="1"/>
    </xf>
    <xf numFmtId="0" fontId="4" fillId="13" borderId="19" xfId="0" applyFont="1" applyFill="1" applyBorder="1" applyAlignment="1">
      <alignment vertical="top" wrapText="1"/>
    </xf>
    <xf numFmtId="0" fontId="4" fillId="13" borderId="20" xfId="0" applyFont="1" applyFill="1" applyBorder="1" applyAlignment="1">
      <alignment vertical="top" wrapText="1"/>
    </xf>
    <xf numFmtId="0" fontId="8" fillId="13" borderId="14" xfId="0" applyFont="1" applyFill="1" applyBorder="1" applyAlignment="1">
      <alignment vertical="top" wrapText="1"/>
    </xf>
    <xf numFmtId="0" fontId="8" fillId="13" borderId="15" xfId="0" applyFont="1" applyFill="1" applyBorder="1" applyAlignment="1">
      <alignment vertical="top" wrapText="1"/>
    </xf>
    <xf numFmtId="0" fontId="8" fillId="13" borderId="0" xfId="0" applyFont="1" applyFill="1" applyAlignment="1">
      <alignment vertical="top" wrapText="1"/>
    </xf>
    <xf numFmtId="0" fontId="8" fillId="13" borderId="17" xfId="0" applyFont="1" applyFill="1" applyBorder="1" applyAlignment="1">
      <alignment vertical="top" wrapText="1"/>
    </xf>
    <xf numFmtId="0" fontId="8" fillId="13" borderId="19" xfId="0" applyFont="1" applyFill="1" applyBorder="1" applyAlignment="1">
      <alignment vertical="top" wrapText="1"/>
    </xf>
    <xf numFmtId="0" fontId="8" fillId="13" borderId="20" xfId="0" applyFont="1" applyFill="1" applyBorder="1" applyAlignment="1">
      <alignment vertical="top" wrapText="1"/>
    </xf>
    <xf numFmtId="0" fontId="6" fillId="10" borderId="29" xfId="0" applyFont="1" applyFill="1" applyBorder="1" applyAlignment="1">
      <alignment vertical="top" wrapText="1"/>
    </xf>
    <xf numFmtId="0" fontId="6" fillId="10" borderId="30" xfId="0" applyFont="1" applyFill="1" applyBorder="1" applyAlignment="1">
      <alignment vertical="top" wrapText="1"/>
    </xf>
    <xf numFmtId="0" fontId="6" fillId="10" borderId="31" xfId="0" applyFont="1" applyFill="1" applyBorder="1" applyAlignment="1">
      <alignment vertical="top" wrapText="1"/>
    </xf>
    <xf numFmtId="0" fontId="6" fillId="13" borderId="14" xfId="0" applyFont="1" applyFill="1" applyBorder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6" fillId="13" borderId="19" xfId="0" applyFont="1" applyFill="1" applyBorder="1" applyAlignment="1">
      <alignment vertical="top" wrapText="1"/>
    </xf>
    <xf numFmtId="0" fontId="0" fillId="13" borderId="13" xfId="0" applyFill="1" applyBorder="1" applyAlignment="1">
      <alignment wrapText="1"/>
    </xf>
    <xf numFmtId="0" fontId="0" fillId="13" borderId="14" xfId="0" applyFill="1" applyBorder="1" applyAlignment="1">
      <alignment wrapText="1"/>
    </xf>
    <xf numFmtId="0" fontId="0" fillId="13" borderId="16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13" borderId="18" xfId="0" applyFill="1" applyBorder="1" applyAlignment="1">
      <alignment wrapText="1"/>
    </xf>
    <xf numFmtId="0" fontId="0" fillId="13" borderId="19" xfId="0" applyFill="1" applyBorder="1" applyAlignment="1">
      <alignment wrapText="1"/>
    </xf>
    <xf numFmtId="9" fontId="0" fillId="13" borderId="15" xfId="0" applyNumberFormat="1" applyFill="1" applyBorder="1" applyAlignment="1">
      <alignment wrapText="1"/>
    </xf>
    <xf numFmtId="9" fontId="0" fillId="13" borderId="17" xfId="0" applyNumberFormat="1" applyFill="1" applyBorder="1" applyAlignment="1">
      <alignment wrapText="1"/>
    </xf>
    <xf numFmtId="9" fontId="0" fillId="13" borderId="20" xfId="0" applyNumberFormat="1" applyFill="1" applyBorder="1" applyAlignment="1">
      <alignment wrapText="1"/>
    </xf>
    <xf numFmtId="0" fontId="4" fillId="13" borderId="40" xfId="0" applyFont="1" applyFill="1" applyBorder="1" applyAlignment="1">
      <alignment vertical="center" wrapText="1"/>
    </xf>
    <xf numFmtId="1" fontId="4" fillId="13" borderId="40" xfId="0" applyNumberFormat="1" applyFont="1" applyFill="1" applyBorder="1" applyAlignment="1">
      <alignment vertical="center" wrapText="1"/>
    </xf>
    <xf numFmtId="1" fontId="4" fillId="13" borderId="41" xfId="0" applyNumberFormat="1" applyFont="1" applyFill="1" applyBorder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4" fillId="6" borderId="40" xfId="0" applyFont="1" applyFill="1" applyBorder="1" applyAlignment="1">
      <alignment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13" borderId="40" xfId="0" applyFont="1" applyFill="1" applyBorder="1" applyAlignment="1">
      <alignment horizontal="center" vertical="center" wrapText="1"/>
    </xf>
    <xf numFmtId="14" fontId="4" fillId="13" borderId="40" xfId="0" applyNumberFormat="1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vertical="center" wrapText="1"/>
    </xf>
    <xf numFmtId="10" fontId="4" fillId="6" borderId="40" xfId="0" applyNumberFormat="1" applyFont="1" applyFill="1" applyBorder="1" applyAlignment="1">
      <alignment vertical="center" wrapText="1"/>
    </xf>
    <xf numFmtId="166" fontId="4" fillId="6" borderId="40" xfId="1" applyNumberFormat="1" applyFont="1" applyFill="1" applyBorder="1" applyAlignment="1">
      <alignment vertical="center" wrapText="1"/>
    </xf>
    <xf numFmtId="0" fontId="10" fillId="0" borderId="40" xfId="0" applyFont="1" applyBorder="1" applyAlignment="1">
      <alignment horizontal="justify" vertical="center" wrapText="1"/>
    </xf>
    <xf numFmtId="164" fontId="4" fillId="6" borderId="40" xfId="0" applyNumberFormat="1" applyFont="1" applyFill="1" applyBorder="1" applyAlignment="1">
      <alignment vertical="center" wrapText="1"/>
    </xf>
    <xf numFmtId="4" fontId="11" fillId="0" borderId="0" xfId="0" applyNumberFormat="1" applyFont="1"/>
    <xf numFmtId="0" fontId="1" fillId="2" borderId="39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/>
    </xf>
    <xf numFmtId="0" fontId="12" fillId="0" borderId="0" xfId="0" applyFont="1"/>
    <xf numFmtId="0" fontId="13" fillId="12" borderId="39" xfId="0" applyFont="1" applyFill="1" applyBorder="1" applyAlignment="1">
      <alignment horizontal="center" vertical="center" wrapText="1"/>
    </xf>
    <xf numFmtId="0" fontId="8" fillId="13" borderId="39" xfId="0" applyFont="1" applyFill="1" applyBorder="1" applyAlignment="1">
      <alignment vertical="center" wrapText="1"/>
    </xf>
    <xf numFmtId="10" fontId="8" fillId="13" borderId="39" xfId="0" applyNumberFormat="1" applyFont="1" applyFill="1" applyBorder="1" applyAlignment="1">
      <alignment vertical="center" wrapText="1"/>
    </xf>
    <xf numFmtId="165" fontId="8" fillId="13" borderId="39" xfId="0" applyNumberFormat="1" applyFont="1" applyFill="1" applyBorder="1" applyAlignment="1">
      <alignment vertical="center" wrapText="1"/>
    </xf>
    <xf numFmtId="164" fontId="8" fillId="13" borderId="39" xfId="0" applyNumberFormat="1" applyFont="1" applyFill="1" applyBorder="1" applyAlignment="1">
      <alignment vertical="center" wrapText="1"/>
    </xf>
    <xf numFmtId="0" fontId="8" fillId="13" borderId="0" xfId="0" applyFont="1" applyFill="1" applyAlignment="1">
      <alignment vertical="center" wrapText="1"/>
    </xf>
    <xf numFmtId="10" fontId="8" fillId="13" borderId="0" xfId="0" applyNumberFormat="1" applyFont="1" applyFill="1" applyAlignment="1">
      <alignment vertical="center" wrapText="1"/>
    </xf>
    <xf numFmtId="165" fontId="8" fillId="13" borderId="0" xfId="0" applyNumberFormat="1" applyFont="1" applyFill="1" applyAlignment="1">
      <alignment vertical="center" wrapText="1"/>
    </xf>
    <xf numFmtId="164" fontId="8" fillId="13" borderId="0" xfId="0" applyNumberFormat="1" applyFont="1" applyFill="1" applyAlignment="1">
      <alignment vertical="center" wrapText="1"/>
    </xf>
    <xf numFmtId="0" fontId="3" fillId="10" borderId="39" xfId="0" applyFont="1" applyFill="1" applyBorder="1" applyAlignment="1">
      <alignment vertical="top" wrapText="1"/>
    </xf>
    <xf numFmtId="0" fontId="0" fillId="13" borderId="39" xfId="0" applyFill="1" applyBorder="1" applyAlignment="1">
      <alignment vertical="top" wrapText="1"/>
    </xf>
    <xf numFmtId="0" fontId="8" fillId="13" borderId="40" xfId="0" applyFont="1" applyFill="1" applyBorder="1" applyAlignment="1">
      <alignment vertical="center" wrapText="1"/>
    </xf>
    <xf numFmtId="10" fontId="8" fillId="13" borderId="40" xfId="0" applyNumberFormat="1" applyFont="1" applyFill="1" applyBorder="1" applyAlignment="1">
      <alignment vertical="center" wrapText="1"/>
    </xf>
    <xf numFmtId="165" fontId="8" fillId="13" borderId="40" xfId="0" applyNumberFormat="1" applyFont="1" applyFill="1" applyBorder="1" applyAlignment="1">
      <alignment vertical="center" wrapText="1"/>
    </xf>
    <xf numFmtId="164" fontId="8" fillId="13" borderId="40" xfId="0" applyNumberFormat="1" applyFont="1" applyFill="1" applyBorder="1" applyAlignment="1">
      <alignment vertical="center" wrapText="1"/>
    </xf>
    <xf numFmtId="0" fontId="0" fillId="7" borderId="0" xfId="0" applyFill="1" applyAlignment="1">
      <alignment vertical="top" wrapText="1"/>
    </xf>
    <xf numFmtId="0" fontId="1" fillId="11" borderId="0" xfId="0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0" fillId="0" borderId="0" xfId="0"/>
    <xf numFmtId="0" fontId="3" fillId="5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6" fillId="10" borderId="12" xfId="0" applyFont="1" applyFill="1" applyBorder="1" applyAlignment="1">
      <alignment horizontal="left" vertical="center" wrapText="1"/>
    </xf>
    <xf numFmtId="0" fontId="3" fillId="14" borderId="39" xfId="0" applyFont="1" applyFill="1" applyBorder="1" applyAlignment="1">
      <alignment vertical="center" wrapText="1"/>
    </xf>
    <xf numFmtId="0" fontId="2" fillId="11" borderId="0" xfId="0" applyFont="1" applyFill="1" applyAlignment="1">
      <alignment horizontal="left" vertical="center"/>
    </xf>
    <xf numFmtId="0" fontId="6" fillId="10" borderId="39" xfId="0" applyFont="1" applyFill="1" applyBorder="1" applyAlignment="1">
      <alignment vertical="center" wrapText="1"/>
    </xf>
    <xf numFmtId="0" fontId="13" fillId="11" borderId="39" xfId="0" applyFont="1" applyFill="1" applyBorder="1" applyAlignment="1">
      <alignment horizontal="center" vertical="center" wrapText="1"/>
    </xf>
    <xf numFmtId="0" fontId="6" fillId="10" borderId="39" xfId="0" applyFont="1" applyFill="1" applyBorder="1" applyAlignment="1">
      <alignment horizontal="left" vertical="center" wrapText="1"/>
    </xf>
    <xf numFmtId="0" fontId="7" fillId="14" borderId="21" xfId="0" applyFont="1" applyFill="1" applyBorder="1" applyAlignment="1">
      <alignment vertical="center" wrapText="1"/>
    </xf>
    <xf numFmtId="0" fontId="7" fillId="14" borderId="22" xfId="0" applyFont="1" applyFill="1" applyBorder="1" applyAlignment="1">
      <alignment vertical="center" wrapText="1"/>
    </xf>
    <xf numFmtId="0" fontId="7" fillId="14" borderId="23" xfId="0" applyFont="1" applyFill="1" applyBorder="1" applyAlignment="1">
      <alignment vertical="center" wrapText="1"/>
    </xf>
    <xf numFmtId="0" fontId="7" fillId="14" borderId="24" xfId="0" applyFont="1" applyFill="1" applyBorder="1" applyAlignment="1">
      <alignment vertical="center" wrapText="1"/>
    </xf>
    <xf numFmtId="0" fontId="7" fillId="14" borderId="0" xfId="0" applyFont="1" applyFill="1" applyAlignment="1">
      <alignment vertical="center" wrapText="1"/>
    </xf>
    <xf numFmtId="0" fontId="7" fillId="14" borderId="25" xfId="0" applyFont="1" applyFill="1" applyBorder="1" applyAlignment="1">
      <alignment vertical="center" wrapText="1"/>
    </xf>
    <xf numFmtId="0" fontId="7" fillId="14" borderId="26" xfId="0" applyFont="1" applyFill="1" applyBorder="1" applyAlignment="1">
      <alignment vertical="center" wrapText="1"/>
    </xf>
    <xf numFmtId="0" fontId="7" fillId="14" borderId="27" xfId="0" applyFont="1" applyFill="1" applyBorder="1" applyAlignment="1">
      <alignment vertical="center" wrapText="1"/>
    </xf>
    <xf numFmtId="0" fontId="7" fillId="14" borderId="28" xfId="0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3" fillId="10" borderId="32" xfId="0" applyFont="1" applyFill="1" applyBorder="1" applyAlignment="1">
      <alignment vertical="center" wrapText="1"/>
    </xf>
    <xf numFmtId="0" fontId="3" fillId="10" borderId="33" xfId="0" applyFont="1" applyFill="1" applyBorder="1" applyAlignment="1">
      <alignment vertical="center" wrapText="1"/>
    </xf>
    <xf numFmtId="0" fontId="3" fillId="10" borderId="34" xfId="0" applyFont="1" applyFill="1" applyBorder="1" applyAlignment="1">
      <alignment vertical="center" wrapText="1"/>
    </xf>
    <xf numFmtId="0" fontId="3" fillId="10" borderId="35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0" borderId="36" xfId="0" applyFont="1" applyFill="1" applyBorder="1" applyAlignment="1">
      <alignment vertical="center" wrapText="1"/>
    </xf>
    <xf numFmtId="0" fontId="3" fillId="10" borderId="37" xfId="0" applyFont="1" applyFill="1" applyBorder="1" applyAlignment="1">
      <alignment vertical="center" wrapText="1"/>
    </xf>
    <xf numFmtId="0" fontId="3" fillId="10" borderId="38" xfId="0" applyFont="1" applyFill="1" applyBorder="1" applyAlignment="1">
      <alignment vertical="center" wrapText="1"/>
    </xf>
    <xf numFmtId="0" fontId="3" fillId="10" borderId="39" xfId="0" applyFont="1" applyFill="1" applyBorder="1" applyAlignment="1">
      <alignment vertical="center" wrapText="1"/>
    </xf>
  </cellXfs>
  <cellStyles count="2">
    <cellStyle name="Millares" xfId="1" builtinId="3"/>
    <cellStyle name="Normal" xfId="0" builtinId="0"/>
  </cellStyles>
  <dxfs count="30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ont>
        <b/>
      </font>
      <fill>
        <patternFill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numFmt numFmtId="164" formatCode="\$#,##0"/>
    </dxf>
    <dxf>
      <numFmt numFmtId="0" formatCode="General"/>
    </dxf>
    <dxf>
      <numFmt numFmtId="164" formatCode="\$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miliaTable" displayName="FamiliaTable" ref="A4:P54">
  <tableColumns count="16">
    <tableColumn id="1" xr3:uid="{00000000-0010-0000-0000-000001000000}" name="Código"/>
    <tableColumn id="2" xr3:uid="{00000000-0010-0000-0000-000002000000}" name="Nombre completo"/>
    <tableColumn id="3" xr3:uid="{00000000-0010-0000-0000-000003000000}" name="Tipo de vínculo"/>
    <tableColumn id="4" xr3:uid="{00000000-0010-0000-0000-000004000000}" name="Generación"/>
    <tableColumn id="5" xr3:uid="{00000000-0010-0000-0000-000005000000}" name="Edad"/>
    <tableColumn id="6" xr3:uid="{00000000-0010-0000-0000-000006000000}" name="Estado civil"/>
    <tableColumn id="7" xr3:uid="{00000000-0010-0000-0000-000007000000}" name="Año matrimonio/convivencia"/>
    <tableColumn id="8" xr3:uid="{00000000-0010-0000-0000-000008000000}" name="Tiene capitulaciones"/>
    <tableColumn id="9" xr3:uid="{00000000-0010-0000-0000-000009000000}" name="Sociedad conyugal/patrimonial liquidada"/>
    <tableColumn id="10" xr3:uid="{00000000-0010-0000-0000-00000A000000}" name="Número de hijos"/>
    <tableColumn id="11" xr3:uid="{00000000-0010-0000-0000-00000B000000}" name="Trabaja en empresa familiar"/>
    <tableColumn id="12" xr3:uid="{00000000-0010-0000-0000-00000C000000}" name="Empresa donde trabaja"/>
    <tableColumn id="13" xr3:uid="{00000000-0010-0000-0000-00000D000000}" name="Cargo"/>
    <tableColumn id="14" xr3:uid="{00000000-0010-0000-0000-00000E000000}" name="Es accionista"/>
    <tableColumn id="15" xr3:uid="{00000000-0010-0000-0000-00000F000000}" name="Participa en decisiones"/>
    <tableColumn id="16" xr3:uid="{00000000-0010-0000-0000-000010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resasTable" displayName="EmpresasTable" ref="A4:R34">
  <tableColumns count="18">
    <tableColumn id="1" xr3:uid="{00000000-0010-0000-0100-000001000000}" name="Código"/>
    <tableColumn id="2" xr3:uid="{00000000-0010-0000-0100-000002000000}" name="Razón social"/>
    <tableColumn id="3" xr3:uid="{00000000-0010-0000-0100-000003000000}" name="Nombre comercial"/>
    <tableColumn id="4" xr3:uid="{00000000-0010-0000-0100-000004000000}" name="Tipo de sociedad"/>
    <tableColumn id="5" xr3:uid="{00000000-0010-0000-0100-000005000000}" name="Año creación"/>
    <tableColumn id="6" xr3:uid="{00000000-0010-0000-0100-000006000000}" name="Actividad principal"/>
    <tableColumn id="7" xr3:uid="{00000000-0010-0000-0100-000007000000}" name="Empresa operativa/patrimonial"/>
    <tableColumn id="8" xr3:uid="{00000000-0010-0000-0100-000008000000}" name="Representante legal"/>
    <tableColumn id="9" xr3:uid="{00000000-0010-0000-0100-000009000000}" name="Tiene junta directiva"/>
    <tableColumn id="10" xr3:uid="{00000000-0010-0000-0100-00000A000000}" name="Tiene revisor fiscal"/>
    <tableColumn id="11" xr3:uid="{00000000-0010-0000-0100-00000B000000}" name="Tiene inmuebles propios"/>
    <tableColumn id="12" xr3:uid="{00000000-0010-0000-0100-00000C000000}" name="Tiene empleados"/>
    <tableColumn id="13" xr3:uid="{00000000-0010-0000-0100-00000D000000}" name="Deudas o créditos importantes"/>
    <tableColumn id="14" xr3:uid="{00000000-0010-0000-0100-00000E000000}" name="Estatutos actualizados"/>
    <tableColumn id="15" xr3:uid="{00000000-0010-0000-0100-00000F000000}" name="Acuerdo de accionistas"/>
    <tableColumn id="16" xr3:uid="{00000000-0010-0000-0100-000010000000}" name="Libro de accionistas actualizado"/>
    <tableColumn id="17" xr3:uid="{00000000-0010-0000-0100-000011000000}" name="Nivel de riesgo"/>
    <tableColumn id="18" xr3:uid="{00000000-0010-0000-0100-000012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ionistasTable" displayName="AccionistasTable" ref="A4:Q104">
  <tableColumns count="17">
    <tableColumn id="1" xr3:uid="{00000000-0010-0000-0200-000001000000}" name="Código"/>
    <tableColumn id="2" xr3:uid="{00000000-0010-0000-0200-000002000000}" name="Empresa" dataDxfId="29">
      <calculatedColumnFormula>+EmpresasTable[[#This Row],[Razón social]]</calculatedColumnFormula>
    </tableColumn>
    <tableColumn id="3" xr3:uid="{00000000-0010-0000-0200-000003000000}" name="Accionista" dataDxfId="28">
      <calculatedColumnFormula>+FamiliaTable[[#This Row],[Nombre completo]]</calculatedColumnFormula>
    </tableColumn>
    <tableColumn id="4" xr3:uid="{00000000-0010-0000-0200-000004000000}" name="Vínculo familiar"/>
    <tableColumn id="5" xr3:uid="{00000000-0010-0000-0200-000005000000}" name="Número de acciones/cuotas"/>
    <tableColumn id="6" xr3:uid="{00000000-0010-0000-0200-000006000000}" name="Porcentaje"/>
    <tableColumn id="7" xr3:uid="{00000000-0010-0000-0200-000007000000}" name="Año de ingreso"/>
    <tableColumn id="8" xr3:uid="{00000000-0010-0000-0200-000008000000}" name="Forma de adquisición"/>
    <tableColumn id="9" xr3:uid="{00000000-0010-0000-0200-000009000000}" name="Valor pagado/aportado" dataDxfId="27">
      <calculatedColumnFormula>+AccionistasTable[[#This Row],[Número de acciones/cuotas]]*10000</calculatedColumnFormula>
    </tableColumn>
    <tableColumn id="10" xr3:uid="{00000000-0010-0000-0200-00000A000000}" name="Quién aportó los recursos" dataDxfId="26">
      <calculatedColumnFormula>+AccionistasTable[[#This Row],[Accionista]]</calculatedColumnFormula>
    </tableColumn>
    <tableColumn id="11" xr3:uid="{00000000-0010-0000-0200-00000B000000}" name="Estado civil al adquirir"/>
    <tableColumn id="12" xr3:uid="{00000000-0010-0000-0200-00000C000000}" name="Convivía en ese momento"/>
    <tableColumn id="13" xr3:uid="{00000000-0010-0000-0200-00000D000000}" name="Existe documento de adquisición"/>
    <tableColumn id="14" xr3:uid="{00000000-0010-0000-0200-00000E000000}" name="Registro en libro accionistas"/>
    <tableColumn id="15" xr3:uid="{00000000-0010-0000-0200-00000F000000}" name="Restricción vigente"/>
    <tableColumn id="16" xr3:uid="{00000000-0010-0000-0200-000010000000}" name="Valor estimado actual" dataDxfId="25">
      <calculatedColumnFormula>+$S$9*AccionistasTable[[#This Row],[Porcentaje]]</calculatedColumnFormula>
    </tableColumn>
    <tableColumn id="17" xr3:uid="{00000000-0010-0000-0200-000011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E49C17-F1D2-41FE-ABCF-1F608335A983}" name="InventarioMaestroActivos" displayName="InventarioMaestroActivos" ref="A5:BJ205">
  <tableColumns count="62">
    <tableColumn id="1" xr3:uid="{9F78A2A6-964C-47D4-87FD-ED56A49A919F}" name="Código del activo">
      <calculatedColumnFormula>IF(D6="","","ACT-"&amp;TEXT(ROW()-5,"0000"))</calculatedColumnFormula>
    </tableColumn>
    <tableColumn id="2" xr3:uid="{FA398A9C-E9A1-409B-9D50-986678CD1F66}" name="Categoría"/>
    <tableColumn id="3" xr3:uid="{BAEFDE4E-F1AC-4E63-935D-B1EE7934C9A2}" name="Subcategoría"/>
    <tableColumn id="4" xr3:uid="{0626A600-0808-4E04-8E93-09744360EEB7}" name="Nombre corto"/>
    <tableColumn id="5" xr3:uid="{83DFE79B-8040-45A2-895D-BA4D324E41BD}" name="Descripción completa"/>
    <tableColumn id="6" xr3:uid="{0F402464-565E-495F-A40F-522F67AF6302}" name="Ámbito patrimonial"/>
    <tableColumn id="7" xr3:uid="{2EA8D418-65D4-42A2-8A31-1ACC9D102E2D}" name="Tipo de titular"/>
    <tableColumn id="8" xr3:uid="{96FAEB52-3C10-488D-8DDF-2A94C0930577}" name="Titular legal"/>
    <tableColumn id="9" xr3:uid="{1DA5ED57-578A-41ED-B04C-2EE057DD7AEB}" name="Beneficiario económico"/>
    <tableColumn id="10" xr3:uid="{781A641E-4EB0-449E-94BC-6A4F1D3557C9}" name="Empresa relacionada"/>
    <tableColumn id="11" xr3:uid="{495DCDED-4653-48A6-867E-75F08D344461}" name="Generación familiar"/>
    <tableColumn id="12" xr3:uid="{54A81BA3-11D7-4040-8F3E-7483880679F0}" name="% de propiedad"/>
    <tableColumn id="13" xr3:uid="{A6C4119F-2821-494D-AE12-634BA817046C}" name="Copropietarios"/>
    <tableColumn id="14" xr3:uid="{1CF9F498-1087-4785-85A1-9083DC6B5BDE}" name="% de otros propietarios"/>
    <tableColumn id="15" xr3:uid="{99E1360C-EC23-47C6-A32E-A24013D154C7}" name="Fecha de adquisición"/>
    <tableColumn id="16" xr3:uid="{95ABBC02-7A12-424B-ACB8-4B5628758845}" name="Forma de adquisición"/>
    <tableColumn id="17" xr3:uid="{DC5A605E-461B-4106-B685-2F7BDE1AA36C}" name="Valor original"/>
    <tableColumn id="18" xr3:uid="{E2B82EB7-83BC-4D47-A02F-59AAB4740E76}" name="Moneda"/>
    <tableColumn id="19" xr3:uid="{21A65917-254D-4DE1-8582-A00BFBD3FC19}" name="Fuente de recursos"/>
    <tableColumn id="20" xr3:uid="{55ECA7F4-14BE-4034-BA65-24B67EB0DB60}" name="Quién aportó realmente"/>
    <tableColumn id="21" xr3:uid="{EEE1AE22-357B-4183-A215-9613D39A436C}" name="Estado civil al adquirir"/>
    <tableColumn id="22" xr3:uid="{64BE4992-1DED-421E-9592-016CB4966C2F}" name="Convivía al adquirir"/>
    <tableColumn id="23" xr3:uid="{366CCD95-4384-4C1A-8568-6F301FE4DF43}" name="Clasificación patrimonial"/>
    <tableColumn id="24" xr3:uid="{D0AB6F75-FCCC-4699-82DB-E0C69D0AE77B}" name="Identificador principal"/>
    <tableColumn id="25" xr3:uid="{80449CCB-220E-403B-AD40-5AFA8561ABEF}" name="Identificador secundario"/>
    <tableColumn id="26" xr3:uid="{B153A42F-4DB5-4570-A99B-8DA915DFAA24}" name="Ubicación general"/>
    <tableColumn id="27" xr3:uid="{1BC1C1D4-0D06-4F46-B9CD-195C5A657D61}" name="Valor contable"/>
    <tableColumn id="28" xr3:uid="{664E4F39-F6DB-4188-A2DF-0447952686E8}" name="Valor fiscal"/>
    <tableColumn id="29" xr3:uid="{0DD76313-0503-49BA-8903-363B3A7ABFD8}" name="Valor comercial estimado"/>
    <tableColumn id="30" xr3:uid="{031E0662-CCBB-482B-A105-D4261029F139}" name="Fecha última valoración"/>
    <tableColumn id="31" xr3:uid="{5869AEBB-84DA-4F05-B5C2-E4B217523F7A}" name="Método de valoración"/>
    <tableColumn id="32" xr3:uid="{95DDA975-9A77-41A4-B99D-5371A94E60A2}" name="Fuente / avaluador"/>
    <tableColumn id="33" xr3:uid="{1986FC40-CECB-4EDA-A3AE-6A43513C7FD0}" name="Deuda o saldo pendiente"/>
    <tableColumn id="34" xr3:uid="{036C7BB4-9675-402C-8518-3332F44CC50F}" name="Valor neto estimado">
      <calculatedColumnFormula>IF(AC6="","",AC6-IF(AG6="",0,AG6))</calculatedColumnFormula>
    </tableColumn>
    <tableColumn id="35" xr3:uid="{6C6E29E1-D69C-4273-AB61-35849634C879}" name="Ingreso anual"/>
    <tableColumn id="36" xr3:uid="{9450DC3D-7AC3-4A5A-AA2D-1507594ABFAD}" name="Gasto anual"/>
    <tableColumn id="37" xr3:uid="{1CAA2AD9-0F18-472E-A936-F6C4E07F2CA4}" name="Ingreso neto anual">
      <calculatedColumnFormula>IF(AND(AI6="",AJ6=""),"",IF(AI6="",0,AI6)-IF(AJ6="",0,AJ6))</calculatedColumnFormula>
    </tableColumn>
    <tableColumn id="38" xr3:uid="{11898AB0-49F7-4F1F-8221-554C8DC14616}" name="Rentabilidad neta">
      <calculatedColumnFormula>IFERROR(AK6/AC6,"")</calculatedColumnFormula>
    </tableColumn>
    <tableColumn id="39" xr3:uid="{3AC9EBE1-ABD3-48B1-92F9-28A43D8FF0D7}" name="Activo productivo"/>
    <tableColumn id="40" xr3:uid="{F3671B36-A76E-452F-8924-6D071319B5B9}" name="Activo estratégico"/>
    <tableColumn id="41" xr3:uid="{F250DC27-24D6-4200-BB61-7576C7DF322C}" name="Nivel de liquidez"/>
    <tableColumn id="42" xr3:uid="{4FB8B457-686F-409C-ADF6-256ECB4AE826}" name="Estado físico"/>
    <tableColumn id="43" xr3:uid="{A82FA8F6-6BA1-4D25-8416-68D896B0FB50}" name="Estado jurídico"/>
    <tableColumn id="44" xr3:uid="{5B913918-DCFF-453A-A170-42844C57046F}" name="Tiene gravamen"/>
    <tableColumn id="45" xr3:uid="{12C3D4BF-E7E2-4F19-B944-36E38EC4303A}" name="Tipo de gravamen"/>
    <tableColumn id="46" xr3:uid="{BC961DCA-931D-44ED-AEB0-31768F419FE4}" name="Acreedor o beneficiario"/>
    <tableColumn id="47" xr3:uid="{CB205670-90E3-46F2-A323-EF2B26B94BB7}" name="Tiene seguro"/>
    <tableColumn id="48" xr3:uid="{DF730B31-D56C-43AC-872B-7D068E98D3D1}" name="Compañía aseguradora"/>
    <tableColumn id="49" xr3:uid="{83708EFB-631D-45DF-99EE-003F437434CC}" name="Valor asegurado"/>
    <tableColumn id="50" xr3:uid="{E7BB82A0-150F-46D8-9D42-BA8237A3D1EC}" name="Vencimiento del seguro"/>
    <tableColumn id="51" xr3:uid="{0E4A6563-7A7B-452B-8587-4C99EAAD5157}" name="Documento principal de propiedad"/>
    <tableColumn id="52" xr3:uid="{BF50CB9F-B7C2-4D64-B04F-0A9286FAFEC5}" name="Estado del soporte"/>
    <tableColumn id="53" xr3:uid="{36CD7DBE-67AC-41FF-8CF2-A2384E5E592C}" name="Carpeta digital creada"/>
    <tableColumn id="54" xr3:uid="{5AA012AE-4EDA-4C09-AE48-38C19EA01CA2}" name="Ubicación del archivo"/>
    <tableColumn id="55" xr3:uid="{306B4624-AA45-433A-BBB4-600907ED47EE}" name="Restricción para transferir"/>
    <tableColumn id="56" xr3:uid="{0C9F48FA-2171-4358-85FE-7B596B470800}" name="Destino sucesoral propuesto"/>
    <tableColumn id="57" xr3:uid="{F4EF9C95-5A41-435C-B001-ADBDE80629CD}" name="Beneficiario sucesoral propuesto"/>
    <tableColumn id="58" xr3:uid="{5376EF1A-95D7-4DB4-B347-A8F9DD2BB1C9}" name="Nivel de riesgo"/>
    <tableColumn id="59" xr3:uid="{559A49B8-2F4B-40E2-A961-7FDDCFF52787}" name="Nivel de prioridad"/>
    <tableColumn id="60" xr3:uid="{53B38EE4-26C2-4E73-8748-E0887813E444}" name="Fecha última revisión"/>
    <tableColumn id="61" xr3:uid="{4E1F98A3-2496-44D6-9A39-DC38C671E955}" name="Responsable de actualización"/>
    <tableColumn id="62" xr3:uid="{16736892-5CC4-4A51-B8AB-68F3912CE2D2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cumentosTable" displayName="DocumentosTable" ref="A4:N104">
  <tableColumns count="14">
    <tableColumn id="1" xr3:uid="{00000000-0010-0000-0400-000001000000}" name="Código"/>
    <tableColumn id="2" xr3:uid="{00000000-0010-0000-0400-000002000000}" name="Persona/empresa relacionada"/>
    <tableColumn id="14" xr3:uid="{B82B4C7A-9C7A-4E34-9A52-E1A8E08BE8D8}" name="Categoria" dataDxfId="24"/>
    <tableColumn id="3" xr3:uid="{00000000-0010-0000-0400-000003000000}" name="Tipo de documento" dataDxfId="23">
      <calculatedColumnFormula>HLOOKUP(DocumentosTable[[#This Row],[Categoria]],Listas!$H$1:$Z$27,1,FALSE)</calculatedColumnFormula>
    </tableColumn>
    <tableColumn id="4" xr3:uid="{00000000-0010-0000-0400-000004000000}" name="Existe"/>
    <tableColumn id="5" xr3:uid="{00000000-0010-0000-0400-000005000000}" name="Fecha"/>
    <tableColumn id="6" xr3:uid="{00000000-0010-0000-0400-000006000000}" name="Estado"/>
    <tableColumn id="7" xr3:uid="{00000000-0010-0000-0400-000007000000}" name="Notaría/Cámara/entidad"/>
    <tableColumn id="8" xr3:uid="{00000000-0010-0000-0400-000008000000}" name="Ubicación del archivo"/>
    <tableColumn id="9" xr3:uid="{00000000-0010-0000-0400-000009000000}" name="Requiere actualización"/>
    <tableColumn id="10" xr3:uid="{00000000-0010-0000-0400-00000A000000}" name="Responsable de conseguirlo"/>
    <tableColumn id="11" xr3:uid="{00000000-0010-0000-0400-00000B000000}" name="Fecha objetivo"/>
    <tableColumn id="12" xr3:uid="{00000000-0010-0000-0400-00000C000000}" name="Prioridad"/>
    <tableColumn id="13" xr3:uid="{00000000-0010-0000-0400-00000D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esgosTable" displayName="RiesgosTable" ref="A4:N84">
  <tableColumns count="14">
    <tableColumn id="1" xr3:uid="{00000000-0010-0000-0500-000001000000}" name="Código"/>
    <tableColumn id="2" xr3:uid="{00000000-0010-0000-0500-000002000000}" name="Persona/empresa afectada"/>
    <tableColumn id="3" xr3:uid="{00000000-0010-0000-0500-000003000000}" name="Evento o riesgo"/>
    <tableColumn id="4" xr3:uid="{00000000-0010-0000-0500-000004000000}" name="Descripción"/>
    <tableColumn id="5" xr3:uid="{00000000-0010-0000-0500-000005000000}" name="Probabilidad"/>
    <tableColumn id="6" xr3:uid="{00000000-0010-0000-0500-000006000000}" name="Impacto"/>
    <tableColumn id="7" xr3:uid="{00000000-0010-0000-0500-000007000000}" name="Nivel de riesgo"/>
    <tableColumn id="8" xr3:uid="{00000000-0010-0000-0500-000008000000}" name="Medida preventiva propuesta"/>
    <tableColumn id="9" xr3:uid="{00000000-0010-0000-0500-000009000000}" name="Documento que debe regularlo"/>
    <tableColumn id="10" xr3:uid="{00000000-0010-0000-0500-00000A000000}" name="Responsable"/>
    <tableColumn id="11" xr3:uid="{00000000-0010-0000-0500-00000B000000}" name="Fecha objetivo"/>
    <tableColumn id="12" xr3:uid="{00000000-0010-0000-0500-00000C000000}" name="Estado"/>
    <tableColumn id="13" xr3:uid="{00000000-0010-0000-0500-00000D000000}" name="Prioridad"/>
    <tableColumn id="14" xr3:uid="{00000000-0010-0000-0500-00000E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cisionesTable" displayName="DecisionesTable" ref="A4:P84">
  <tableColumns count="16">
    <tableColumn id="1" xr3:uid="{00000000-0010-0000-0600-000001000000}" name="Código"/>
    <tableColumn id="2" xr3:uid="{00000000-0010-0000-0600-000002000000}" name="Tema"/>
    <tableColumn id="3" xr3:uid="{00000000-0010-0000-0600-000003000000}" name="Pregunta o decisión familiar"/>
    <tableColumn id="4" xr3:uid="{00000000-0010-0000-0600-000004000000}" name="Posición propuesta"/>
    <tableColumn id="5" xr3:uid="{00000000-0010-0000-0600-000005000000}" name="Acuerdo familiar"/>
    <tableColumn id="6" xr3:uid="{00000000-0010-0000-0600-000006000000}" name="Protocolo familiar"/>
    <tableColumn id="7" xr3:uid="{00000000-0010-0000-0600-000007000000}" name="Estatutos"/>
    <tableColumn id="8" xr3:uid="{00000000-0010-0000-0600-000008000000}" name="Acuerdo accionistas"/>
    <tableColumn id="9" xr3:uid="{00000000-0010-0000-0600-000009000000}" name="Capitulaciones/liquidación"/>
    <tableColumn id="10" xr3:uid="{00000000-0010-0000-0600-00000A000000}" name="Testamento/sucesión"/>
    <tableColumn id="11" xr3:uid="{00000000-0010-0000-0600-00000B000000}" name="Manual o política"/>
    <tableColumn id="12" xr3:uid="{00000000-0010-0000-0600-00000C000000}" name="Requiere valoración"/>
    <tableColumn id="13" xr3:uid="{00000000-0010-0000-0600-00000D000000}" name="Responsable"/>
    <tableColumn id="14" xr3:uid="{00000000-0010-0000-0600-00000E000000}" name="Fecha objetivo"/>
    <tableColumn id="15" xr3:uid="{00000000-0010-0000-0600-00000F000000}" name="Estado"/>
    <tableColumn id="16" xr3:uid="{00000000-0010-0000-0600-0000100000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cademiaCamposTable" displayName="AcademiaCamposTable" ref="A7:G116">
  <tableColumns count="7">
    <tableColumn id="1" xr3:uid="{00000000-0010-0000-0700-000001000000}" name="Hoja"/>
    <tableColumn id="2" xr3:uid="{00000000-0010-0000-0700-000002000000}" name="Qué representa una fila"/>
    <tableColumn id="3" xr3:uid="{00000000-0010-0000-0700-000003000000}" name="Campo"/>
    <tableColumn id="4" xr3:uid="{00000000-0010-0000-0700-000004000000}" name="Qué debes colocar"/>
    <tableColumn id="5" xr3:uid="{00000000-0010-0000-0700-000005000000}" name="Ejemplo"/>
    <tableColumn id="6" xr3:uid="{00000000-0010-0000-0700-000006000000}" name="Objetivo de la pregunta"/>
    <tableColumn id="7" xr3:uid="{00000000-0010-0000-0700-000007000000}" name="Alerta o recomend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zoomScale="75" zoomScaleNormal="75" workbookViewId="0">
      <selection activeCell="C17" sqref="C17"/>
    </sheetView>
  </sheetViews>
  <sheetFormatPr baseColWidth="10" defaultColWidth="8.6640625" defaultRowHeight="14"/>
  <cols>
    <col min="1" max="1" width="16" customWidth="1"/>
    <col min="2" max="2" width="18" customWidth="1"/>
    <col min="3" max="3" width="22" customWidth="1"/>
    <col min="4" max="4" width="24" customWidth="1"/>
    <col min="5" max="5" width="23" customWidth="1"/>
    <col min="6" max="6" width="26" customWidth="1"/>
    <col min="7" max="7" width="14" customWidth="1"/>
    <col min="8" max="8" width="45.58203125" customWidth="1"/>
    <col min="9" max="9" width="44.83203125" customWidth="1"/>
    <col min="10" max="10" width="55.9140625" customWidth="1"/>
    <col min="11" max="11" width="53.08203125" customWidth="1"/>
    <col min="12" max="12" width="44.83203125" customWidth="1"/>
    <col min="13" max="13" width="50" customWidth="1"/>
    <col min="14" max="14" width="49.83203125" customWidth="1"/>
    <col min="15" max="15" width="46.9140625" customWidth="1"/>
    <col min="16" max="16" width="46.33203125" customWidth="1"/>
    <col min="17" max="17" width="52.1640625" customWidth="1"/>
    <col min="18" max="18" width="52" customWidth="1"/>
    <col min="19" max="19" width="45.83203125" customWidth="1"/>
    <col min="20" max="20" width="48.5" customWidth="1"/>
    <col min="21" max="21" width="56.4140625" customWidth="1"/>
    <col min="22" max="22" width="59.33203125" customWidth="1"/>
    <col min="23" max="23" width="50" customWidth="1"/>
    <col min="24" max="24" width="38.6640625" customWidth="1"/>
    <col min="25" max="25" width="49.33203125" customWidth="1"/>
    <col min="26" max="26" width="58.25" customWidth="1"/>
    <col min="27" max="27" width="46.25" customWidth="1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699</v>
      </c>
      <c r="I1" s="3" t="s">
        <v>717</v>
      </c>
      <c r="J1" s="3" t="s">
        <v>733</v>
      </c>
      <c r="K1" s="3" t="s">
        <v>756</v>
      </c>
      <c r="L1" s="3" t="s">
        <v>777</v>
      </c>
      <c r="M1" s="3" t="s">
        <v>804</v>
      </c>
      <c r="N1" s="3" t="s">
        <v>822</v>
      </c>
      <c r="O1" s="3" t="s">
        <v>845</v>
      </c>
      <c r="P1" s="74" t="s">
        <v>860</v>
      </c>
      <c r="Q1" s="74" t="s">
        <v>885</v>
      </c>
      <c r="R1" s="74" t="s">
        <v>911</v>
      </c>
      <c r="S1" s="74" t="s">
        <v>939</v>
      </c>
      <c r="T1" s="74" t="s">
        <v>966</v>
      </c>
      <c r="U1" s="74" t="s">
        <v>986</v>
      </c>
      <c r="V1" s="74" t="s">
        <v>999</v>
      </c>
      <c r="W1" s="74" t="s">
        <v>1016</v>
      </c>
      <c r="X1" s="74" t="s">
        <v>1028</v>
      </c>
      <c r="Y1" s="74" t="s">
        <v>1047</v>
      </c>
      <c r="Z1" s="74" t="s">
        <v>1066</v>
      </c>
      <c r="AA1" s="74" t="s">
        <v>1088</v>
      </c>
    </row>
    <row r="2" spans="1:27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700</v>
      </c>
      <c r="I2" s="4" t="s">
        <v>718</v>
      </c>
      <c r="J2" s="4" t="s">
        <v>734</v>
      </c>
      <c r="K2" s="4" t="s">
        <v>139</v>
      </c>
      <c r="L2" s="4" t="s">
        <v>778</v>
      </c>
      <c r="M2" s="4" t="s">
        <v>805</v>
      </c>
      <c r="N2" s="4" t="s">
        <v>823</v>
      </c>
      <c r="O2" s="4" t="s">
        <v>846</v>
      </c>
      <c r="P2" s="4" t="s">
        <v>861</v>
      </c>
      <c r="Q2" s="4" t="s">
        <v>886</v>
      </c>
      <c r="R2" s="4" t="s">
        <v>912</v>
      </c>
      <c r="S2" s="4" t="s">
        <v>940</v>
      </c>
      <c r="T2" s="4" t="s">
        <v>967</v>
      </c>
      <c r="U2" s="4" t="s">
        <v>987</v>
      </c>
      <c r="V2" s="4" t="s">
        <v>1000</v>
      </c>
      <c r="W2" s="4" t="s">
        <v>1017</v>
      </c>
      <c r="X2" s="4" t="s">
        <v>1029</v>
      </c>
      <c r="Y2" s="4" t="s">
        <v>1048</v>
      </c>
      <c r="Z2" s="4" t="s">
        <v>1067</v>
      </c>
      <c r="AA2" s="4" t="s">
        <v>1089</v>
      </c>
    </row>
    <row r="3" spans="1:27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701</v>
      </c>
      <c r="I3" s="4" t="s">
        <v>719</v>
      </c>
      <c r="J3" s="4" t="s">
        <v>735</v>
      </c>
      <c r="K3" s="4" t="s">
        <v>757</v>
      </c>
      <c r="L3" s="4" t="s">
        <v>779</v>
      </c>
      <c r="M3" s="4" t="s">
        <v>806</v>
      </c>
      <c r="N3" s="4" t="s">
        <v>824</v>
      </c>
      <c r="O3" s="4" t="s">
        <v>847</v>
      </c>
      <c r="P3" s="4" t="s">
        <v>862</v>
      </c>
      <c r="Q3" s="4" t="s">
        <v>887</v>
      </c>
      <c r="R3" s="4" t="s">
        <v>913</v>
      </c>
      <c r="S3" s="4" t="s">
        <v>941</v>
      </c>
      <c r="T3" s="4" t="s">
        <v>968</v>
      </c>
      <c r="U3" s="4" t="s">
        <v>988</v>
      </c>
      <c r="V3" s="4" t="s">
        <v>1001</v>
      </c>
      <c r="W3" s="4" t="s">
        <v>1018</v>
      </c>
      <c r="X3" s="4" t="s">
        <v>1030</v>
      </c>
      <c r="Y3" s="4" t="s">
        <v>1049</v>
      </c>
      <c r="Z3" s="4" t="s">
        <v>1068</v>
      </c>
      <c r="AA3" s="4" t="s">
        <v>1090</v>
      </c>
    </row>
    <row r="4" spans="1:27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702</v>
      </c>
      <c r="I4" s="4" t="s">
        <v>720</v>
      </c>
      <c r="J4" s="4" t="s">
        <v>736</v>
      </c>
      <c r="K4" s="4" t="s">
        <v>758</v>
      </c>
      <c r="L4" s="4" t="s">
        <v>780</v>
      </c>
      <c r="M4" s="4" t="s">
        <v>807</v>
      </c>
      <c r="N4" s="4" t="s">
        <v>825</v>
      </c>
      <c r="O4" s="4" t="s">
        <v>848</v>
      </c>
      <c r="P4" s="4" t="s">
        <v>863</v>
      </c>
      <c r="Q4" s="4" t="s">
        <v>888</v>
      </c>
      <c r="R4" s="4" t="s">
        <v>914</v>
      </c>
      <c r="S4" s="4" t="s">
        <v>942</v>
      </c>
      <c r="T4" s="4" t="s">
        <v>969</v>
      </c>
      <c r="U4" s="4" t="s">
        <v>989</v>
      </c>
      <c r="V4" s="4" t="s">
        <v>1002</v>
      </c>
      <c r="W4" s="4" t="s">
        <v>1019</v>
      </c>
      <c r="X4" s="4" t="s">
        <v>1031</v>
      </c>
      <c r="Y4" s="4" t="s">
        <v>1050</v>
      </c>
      <c r="Z4" s="4" t="s">
        <v>879</v>
      </c>
      <c r="AA4" s="4" t="s">
        <v>1091</v>
      </c>
    </row>
    <row r="5" spans="1:27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703</v>
      </c>
      <c r="I5" s="4" t="s">
        <v>721</v>
      </c>
      <c r="J5" s="4" t="s">
        <v>737</v>
      </c>
      <c r="K5" s="4" t="s">
        <v>759</v>
      </c>
      <c r="L5" s="4" t="s">
        <v>781</v>
      </c>
      <c r="M5" s="4" t="s">
        <v>808</v>
      </c>
      <c r="N5" s="4" t="s">
        <v>826</v>
      </c>
      <c r="O5" s="4" t="s">
        <v>849</v>
      </c>
      <c r="P5" s="4" t="s">
        <v>864</v>
      </c>
      <c r="Q5" s="4" t="s">
        <v>889</v>
      </c>
      <c r="R5" s="4" t="s">
        <v>915</v>
      </c>
      <c r="S5" s="4" t="s">
        <v>943</v>
      </c>
      <c r="T5" s="4" t="s">
        <v>970</v>
      </c>
      <c r="U5" s="4" t="s">
        <v>990</v>
      </c>
      <c r="V5" s="4" t="s">
        <v>1003</v>
      </c>
      <c r="W5" s="4" t="s">
        <v>1020</v>
      </c>
      <c r="X5" s="4" t="s">
        <v>1032</v>
      </c>
      <c r="Y5" s="4" t="s">
        <v>1051</v>
      </c>
      <c r="Z5" s="4" t="s">
        <v>1069</v>
      </c>
      <c r="AA5" s="4" t="s">
        <v>1092</v>
      </c>
    </row>
    <row r="6" spans="1:27">
      <c r="A6" s="4"/>
      <c r="B6" s="4" t="s">
        <v>36</v>
      </c>
      <c r="C6" s="4" t="s">
        <v>37</v>
      </c>
      <c r="D6" s="4" t="s">
        <v>38</v>
      </c>
      <c r="E6" s="4" t="s">
        <v>39</v>
      </c>
      <c r="F6" s="4" t="s">
        <v>22</v>
      </c>
      <c r="G6" s="4"/>
      <c r="H6" s="4" t="s">
        <v>704</v>
      </c>
      <c r="I6" s="4" t="s">
        <v>722</v>
      </c>
      <c r="J6" s="4" t="s">
        <v>738</v>
      </c>
      <c r="K6" s="4" t="s">
        <v>760</v>
      </c>
      <c r="L6" s="4" t="s">
        <v>782</v>
      </c>
      <c r="M6" s="4" t="s">
        <v>809</v>
      </c>
      <c r="N6" s="4" t="s">
        <v>827</v>
      </c>
      <c r="O6" s="4" t="s">
        <v>850</v>
      </c>
      <c r="P6" s="4" t="s">
        <v>865</v>
      </c>
      <c r="Q6" s="4" t="s">
        <v>890</v>
      </c>
      <c r="R6" s="4" t="s">
        <v>916</v>
      </c>
      <c r="S6" s="4" t="s">
        <v>944</v>
      </c>
      <c r="T6" s="4" t="s">
        <v>971</v>
      </c>
      <c r="U6" s="4" t="s">
        <v>991</v>
      </c>
      <c r="V6" s="4" t="s">
        <v>1004</v>
      </c>
      <c r="W6" s="4" t="s">
        <v>1021</v>
      </c>
      <c r="X6" s="4" t="s">
        <v>1033</v>
      </c>
      <c r="Y6" s="4" t="s">
        <v>1052</v>
      </c>
      <c r="Z6" s="4" t="s">
        <v>1070</v>
      </c>
      <c r="AA6" s="4" t="s">
        <v>1093</v>
      </c>
    </row>
    <row r="7" spans="1:27">
      <c r="A7" s="4"/>
      <c r="B7" s="4" t="s">
        <v>40</v>
      </c>
      <c r="C7" s="4" t="s">
        <v>41</v>
      </c>
      <c r="D7" s="4" t="s">
        <v>42</v>
      </c>
      <c r="E7" s="4" t="s">
        <v>43</v>
      </c>
      <c r="F7" s="4" t="s">
        <v>29</v>
      </c>
      <c r="G7" s="4"/>
      <c r="H7" s="4" t="s">
        <v>705</v>
      </c>
      <c r="I7" s="4" t="s">
        <v>723</v>
      </c>
      <c r="J7" s="4" t="s">
        <v>739</v>
      </c>
      <c r="K7" s="4" t="s">
        <v>761</v>
      </c>
      <c r="L7" s="4" t="s">
        <v>783</v>
      </c>
      <c r="M7" s="4" t="s">
        <v>810</v>
      </c>
      <c r="N7" s="4" t="s">
        <v>828</v>
      </c>
      <c r="O7" s="4" t="s">
        <v>851</v>
      </c>
      <c r="P7" s="4" t="s">
        <v>866</v>
      </c>
      <c r="Q7" s="4" t="s">
        <v>891</v>
      </c>
      <c r="R7" s="4" t="s">
        <v>917</v>
      </c>
      <c r="S7" s="4" t="s">
        <v>945</v>
      </c>
      <c r="T7" s="4" t="s">
        <v>972</v>
      </c>
      <c r="U7" s="4" t="s">
        <v>726</v>
      </c>
      <c r="V7" s="4" t="s">
        <v>1005</v>
      </c>
      <c r="W7" s="4" t="s">
        <v>1022</v>
      </c>
      <c r="X7" s="4" t="s">
        <v>1034</v>
      </c>
      <c r="Y7" s="4" t="s">
        <v>1053</v>
      </c>
      <c r="Z7" s="4" t="s">
        <v>1071</v>
      </c>
      <c r="AA7" s="4" t="s">
        <v>1094</v>
      </c>
    </row>
    <row r="8" spans="1:27">
      <c r="A8" s="4"/>
      <c r="B8" s="4" t="s">
        <v>44</v>
      </c>
      <c r="C8" s="4" t="s">
        <v>45</v>
      </c>
      <c r="D8" s="4" t="s">
        <v>46</v>
      </c>
      <c r="E8" s="4" t="s">
        <v>47</v>
      </c>
      <c r="F8" s="4"/>
      <c r="G8" s="4"/>
      <c r="H8" s="4" t="s">
        <v>706</v>
      </c>
      <c r="I8" s="4" t="s">
        <v>724</v>
      </c>
      <c r="J8" s="4" t="s">
        <v>740</v>
      </c>
      <c r="K8" s="4" t="s">
        <v>762</v>
      </c>
      <c r="L8" s="4" t="s">
        <v>784</v>
      </c>
      <c r="M8" s="4" t="s">
        <v>811</v>
      </c>
      <c r="N8" s="4" t="s">
        <v>829</v>
      </c>
      <c r="O8" s="4" t="s">
        <v>852</v>
      </c>
      <c r="P8" s="4" t="s">
        <v>867</v>
      </c>
      <c r="Q8" s="4" t="s">
        <v>892</v>
      </c>
      <c r="R8" s="4" t="s">
        <v>918</v>
      </c>
      <c r="S8" s="4" t="s">
        <v>946</v>
      </c>
      <c r="T8" s="4" t="s">
        <v>973</v>
      </c>
      <c r="U8" s="4" t="s">
        <v>992</v>
      </c>
      <c r="V8" s="4" t="s">
        <v>1006</v>
      </c>
      <c r="W8" s="4" t="s">
        <v>1023</v>
      </c>
      <c r="X8" s="4" t="s">
        <v>1035</v>
      </c>
      <c r="Y8" s="4" t="s">
        <v>819</v>
      </c>
      <c r="Z8" s="4" t="s">
        <v>1072</v>
      </c>
      <c r="AA8" s="4" t="s">
        <v>1095</v>
      </c>
    </row>
    <row r="9" spans="1:27">
      <c r="E9" s="4" t="s">
        <v>1109</v>
      </c>
      <c r="H9" s="4" t="s">
        <v>707</v>
      </c>
      <c r="I9" s="4" t="s">
        <v>725</v>
      </c>
      <c r="J9" s="4" t="s">
        <v>741</v>
      </c>
      <c r="K9" s="4" t="s">
        <v>763</v>
      </c>
      <c r="L9" s="4" t="s">
        <v>785</v>
      </c>
      <c r="M9" s="4" t="s">
        <v>812</v>
      </c>
      <c r="N9" s="4" t="s">
        <v>830</v>
      </c>
      <c r="O9" s="4" t="s">
        <v>853</v>
      </c>
      <c r="P9" s="4" t="s">
        <v>868</v>
      </c>
      <c r="Q9" s="4" t="s">
        <v>893</v>
      </c>
      <c r="R9" s="4" t="s">
        <v>919</v>
      </c>
      <c r="S9" s="4" t="s">
        <v>947</v>
      </c>
      <c r="T9" s="4" t="s">
        <v>974</v>
      </c>
      <c r="U9" s="4" t="s">
        <v>727</v>
      </c>
      <c r="V9" s="4" t="s">
        <v>1007</v>
      </c>
      <c r="W9" s="4" t="s">
        <v>1024</v>
      </c>
      <c r="X9" s="4" t="s">
        <v>1036</v>
      </c>
      <c r="Y9" s="4" t="s">
        <v>1054</v>
      </c>
      <c r="Z9" s="4" t="s">
        <v>1073</v>
      </c>
      <c r="AA9" s="4" t="s">
        <v>1096</v>
      </c>
    </row>
    <row r="10" spans="1:27">
      <c r="H10" s="4" t="s">
        <v>708</v>
      </c>
      <c r="I10" s="4" t="s">
        <v>726</v>
      </c>
      <c r="J10" s="4" t="s">
        <v>742</v>
      </c>
      <c r="K10" s="4" t="s">
        <v>764</v>
      </c>
      <c r="L10" s="4" t="s">
        <v>786</v>
      </c>
      <c r="M10" s="4" t="s">
        <v>813</v>
      </c>
      <c r="N10" s="4" t="s">
        <v>831</v>
      </c>
      <c r="O10" s="4" t="s">
        <v>854</v>
      </c>
      <c r="P10" s="4" t="s">
        <v>869</v>
      </c>
      <c r="Q10" s="4" t="s">
        <v>894</v>
      </c>
      <c r="R10" s="4" t="s">
        <v>920</v>
      </c>
      <c r="S10" s="4" t="s">
        <v>948</v>
      </c>
      <c r="T10" s="4" t="s">
        <v>975</v>
      </c>
      <c r="U10" s="4" t="s">
        <v>728</v>
      </c>
      <c r="V10" s="4" t="s">
        <v>1008</v>
      </c>
      <c r="W10" s="4" t="s">
        <v>798</v>
      </c>
      <c r="X10" s="4" t="s">
        <v>1037</v>
      </c>
      <c r="Y10" s="4" t="s">
        <v>1055</v>
      </c>
      <c r="Z10" s="4" t="s">
        <v>1074</v>
      </c>
      <c r="AA10" s="4" t="s">
        <v>1097</v>
      </c>
    </row>
    <row r="11" spans="1:27">
      <c r="H11" s="4" t="s">
        <v>709</v>
      </c>
      <c r="I11" s="4" t="s">
        <v>727</v>
      </c>
      <c r="J11" s="4" t="s">
        <v>743</v>
      </c>
      <c r="K11" s="4" t="s">
        <v>765</v>
      </c>
      <c r="L11" s="4" t="s">
        <v>787</v>
      </c>
      <c r="M11" s="4" t="s">
        <v>814</v>
      </c>
      <c r="N11" s="4" t="s">
        <v>832</v>
      </c>
      <c r="O11" s="4" t="s">
        <v>855</v>
      </c>
      <c r="P11" s="4" t="s">
        <v>870</v>
      </c>
      <c r="Q11" s="4" t="s">
        <v>895</v>
      </c>
      <c r="R11" s="4" t="s">
        <v>921</v>
      </c>
      <c r="S11" s="4" t="s">
        <v>949</v>
      </c>
      <c r="T11" s="4" t="s">
        <v>976</v>
      </c>
      <c r="U11" s="4" t="s">
        <v>729</v>
      </c>
      <c r="V11" s="4" t="s">
        <v>1009</v>
      </c>
      <c r="W11" s="4" t="s">
        <v>799</v>
      </c>
      <c r="X11" s="4" t="s">
        <v>1038</v>
      </c>
      <c r="Y11" s="4" t="s">
        <v>1056</v>
      </c>
      <c r="Z11" s="4" t="s">
        <v>1075</v>
      </c>
      <c r="AA11" s="4" t="s">
        <v>1098</v>
      </c>
    </row>
    <row r="12" spans="1:27">
      <c r="H12" s="4" t="s">
        <v>710</v>
      </c>
      <c r="I12" s="4" t="s">
        <v>728</v>
      </c>
      <c r="J12" s="4" t="s">
        <v>744</v>
      </c>
      <c r="K12" s="4" t="s">
        <v>766</v>
      </c>
      <c r="L12" s="4" t="s">
        <v>788</v>
      </c>
      <c r="M12" s="4" t="s">
        <v>815</v>
      </c>
      <c r="N12" s="4" t="s">
        <v>833</v>
      </c>
      <c r="O12" s="4" t="s">
        <v>856</v>
      </c>
      <c r="P12" s="4" t="s">
        <v>871</v>
      </c>
      <c r="Q12" s="4" t="s">
        <v>896</v>
      </c>
      <c r="R12" s="4" t="s">
        <v>922</v>
      </c>
      <c r="S12" s="4" t="s">
        <v>950</v>
      </c>
      <c r="T12" s="4" t="s">
        <v>977</v>
      </c>
      <c r="U12" s="4" t="s">
        <v>993</v>
      </c>
      <c r="V12" s="4" t="s">
        <v>1010</v>
      </c>
      <c r="W12" s="4" t="s">
        <v>1025</v>
      </c>
      <c r="X12" s="4" t="s">
        <v>1039</v>
      </c>
      <c r="Y12" s="4" t="s">
        <v>1057</v>
      </c>
      <c r="Z12" s="4" t="s">
        <v>1076</v>
      </c>
      <c r="AA12" s="4" t="s">
        <v>1099</v>
      </c>
    </row>
    <row r="13" spans="1:27">
      <c r="H13" s="4" t="s">
        <v>711</v>
      </c>
      <c r="I13" s="4" t="s">
        <v>729</v>
      </c>
      <c r="J13" s="4" t="s">
        <v>745</v>
      </c>
      <c r="K13" s="4" t="s">
        <v>767</v>
      </c>
      <c r="L13" s="4" t="s">
        <v>789</v>
      </c>
      <c r="M13" s="4" t="s">
        <v>816</v>
      </c>
      <c r="N13" s="4" t="s">
        <v>834</v>
      </c>
      <c r="O13" s="4" t="s">
        <v>816</v>
      </c>
      <c r="P13" s="4" t="s">
        <v>872</v>
      </c>
      <c r="Q13" s="4" t="s">
        <v>897</v>
      </c>
      <c r="R13" s="4" t="s">
        <v>923</v>
      </c>
      <c r="S13" s="4" t="s">
        <v>951</v>
      </c>
      <c r="T13" s="4" t="s">
        <v>978</v>
      </c>
      <c r="U13" s="4" t="s">
        <v>994</v>
      </c>
      <c r="V13" s="4" t="s">
        <v>1011</v>
      </c>
      <c r="W13" s="4" t="s">
        <v>1026</v>
      </c>
      <c r="X13" s="4" t="s">
        <v>843</v>
      </c>
      <c r="Y13" s="4" t="s">
        <v>1058</v>
      </c>
      <c r="Z13" s="4" t="s">
        <v>1077</v>
      </c>
      <c r="AA13" s="4" t="s">
        <v>1100</v>
      </c>
    </row>
    <row r="14" spans="1:27">
      <c r="H14" s="4" t="s">
        <v>712</v>
      </c>
      <c r="I14" s="4" t="s">
        <v>730</v>
      </c>
      <c r="J14" s="4" t="s">
        <v>746</v>
      </c>
      <c r="K14" s="4" t="s">
        <v>768</v>
      </c>
      <c r="L14" s="4" t="s">
        <v>790</v>
      </c>
      <c r="M14" s="4" t="s">
        <v>817</v>
      </c>
      <c r="N14" s="4" t="s">
        <v>835</v>
      </c>
      <c r="O14" s="4" t="s">
        <v>857</v>
      </c>
      <c r="P14" s="4" t="s">
        <v>873</v>
      </c>
      <c r="Q14" s="4" t="s">
        <v>898</v>
      </c>
      <c r="R14" s="4" t="s">
        <v>924</v>
      </c>
      <c r="S14" s="4" t="s">
        <v>952</v>
      </c>
      <c r="T14" s="4" t="s">
        <v>979</v>
      </c>
      <c r="U14" s="4" t="s">
        <v>995</v>
      </c>
      <c r="V14" s="4" t="s">
        <v>1012</v>
      </c>
      <c r="W14" s="4" t="s">
        <v>800</v>
      </c>
      <c r="X14" s="4" t="s">
        <v>1040</v>
      </c>
      <c r="Y14" s="4" t="s">
        <v>1059</v>
      </c>
      <c r="Z14" s="4" t="s">
        <v>1078</v>
      </c>
      <c r="AA14" s="4" t="s">
        <v>1101</v>
      </c>
    </row>
    <row r="15" spans="1:27">
      <c r="H15" s="4" t="s">
        <v>713</v>
      </c>
      <c r="I15" s="4" t="s">
        <v>731</v>
      </c>
      <c r="J15" s="4" t="s">
        <v>747</v>
      </c>
      <c r="K15" s="4" t="s">
        <v>769</v>
      </c>
      <c r="L15" s="4" t="s">
        <v>791</v>
      </c>
      <c r="M15" s="4" t="s">
        <v>818</v>
      </c>
      <c r="N15" s="4" t="s">
        <v>836</v>
      </c>
      <c r="O15" s="4" t="s">
        <v>858</v>
      </c>
      <c r="P15" s="4" t="s">
        <v>874</v>
      </c>
      <c r="Q15" s="4" t="s">
        <v>899</v>
      </c>
      <c r="R15" s="4" t="s">
        <v>925</v>
      </c>
      <c r="S15" s="4" t="s">
        <v>953</v>
      </c>
      <c r="T15" s="4" t="s">
        <v>980</v>
      </c>
      <c r="U15" s="4" t="s">
        <v>996</v>
      </c>
      <c r="V15" s="4" t="s">
        <v>1013</v>
      </c>
      <c r="W15" s="4" t="s">
        <v>1027</v>
      </c>
      <c r="X15" s="4" t="s">
        <v>1041</v>
      </c>
      <c r="Y15" s="4" t="s">
        <v>1060</v>
      </c>
      <c r="Z15" s="4" t="s">
        <v>1079</v>
      </c>
      <c r="AA15" s="4" t="s">
        <v>1102</v>
      </c>
    </row>
    <row r="16" spans="1:27">
      <c r="H16" s="4" t="s">
        <v>714</v>
      </c>
      <c r="I16" s="4" t="s">
        <v>732</v>
      </c>
      <c r="J16" s="4" t="s">
        <v>748</v>
      </c>
      <c r="K16" s="4" t="s">
        <v>770</v>
      </c>
      <c r="L16" s="4" t="s">
        <v>792</v>
      </c>
      <c r="M16" s="4" t="s">
        <v>819</v>
      </c>
      <c r="N16" s="4" t="s">
        <v>837</v>
      </c>
      <c r="O16" s="4" t="s">
        <v>859</v>
      </c>
      <c r="P16" s="4" t="s">
        <v>875</v>
      </c>
      <c r="Q16" s="4" t="s">
        <v>900</v>
      </c>
      <c r="R16" s="4" t="s">
        <v>926</v>
      </c>
      <c r="S16" s="4" t="s">
        <v>954</v>
      </c>
      <c r="T16" s="4" t="s">
        <v>981</v>
      </c>
      <c r="U16" s="4" t="s">
        <v>881</v>
      </c>
      <c r="V16" s="4" t="s">
        <v>1014</v>
      </c>
      <c r="W16" s="4" t="s">
        <v>993</v>
      </c>
      <c r="X16" s="4" t="s">
        <v>1042</v>
      </c>
      <c r="Y16" s="4" t="s">
        <v>1061</v>
      </c>
      <c r="Z16" s="4" t="s">
        <v>1080</v>
      </c>
      <c r="AA16" s="4" t="s">
        <v>1103</v>
      </c>
    </row>
    <row r="17" spans="1:27">
      <c r="H17" s="4" t="s">
        <v>715</v>
      </c>
      <c r="J17" s="4" t="s">
        <v>749</v>
      </c>
      <c r="K17" s="4" t="s">
        <v>771</v>
      </c>
      <c r="L17" s="4" t="s">
        <v>793</v>
      </c>
      <c r="M17" s="4" t="s">
        <v>820</v>
      </c>
      <c r="N17" s="4" t="s">
        <v>838</v>
      </c>
      <c r="P17" s="4" t="s">
        <v>876</v>
      </c>
      <c r="Q17" s="4" t="s">
        <v>901</v>
      </c>
      <c r="R17" s="4" t="s">
        <v>927</v>
      </c>
      <c r="S17" s="4" t="s">
        <v>955</v>
      </c>
      <c r="T17" s="4" t="s">
        <v>982</v>
      </c>
      <c r="U17" s="4" t="s">
        <v>997</v>
      </c>
      <c r="V17" s="4" t="s">
        <v>1015</v>
      </c>
      <c r="W17" s="4"/>
      <c r="X17" s="4" t="s">
        <v>1043</v>
      </c>
      <c r="Y17" s="4" t="s">
        <v>1062</v>
      </c>
      <c r="Z17" s="4" t="s">
        <v>1081</v>
      </c>
      <c r="AA17" s="4" t="s">
        <v>1104</v>
      </c>
    </row>
    <row r="18" spans="1:27">
      <c r="H18" s="4" t="s">
        <v>716</v>
      </c>
      <c r="J18" s="4" t="s">
        <v>750</v>
      </c>
      <c r="K18" s="4" t="s">
        <v>772</v>
      </c>
      <c r="L18" s="4" t="s">
        <v>794</v>
      </c>
      <c r="M18" s="4" t="s">
        <v>821</v>
      </c>
      <c r="N18" s="4" t="s">
        <v>839</v>
      </c>
      <c r="P18" s="4" t="s">
        <v>877</v>
      </c>
      <c r="Q18" s="4" t="s">
        <v>902</v>
      </c>
      <c r="R18" s="4" t="s">
        <v>928</v>
      </c>
      <c r="S18" s="4" t="s">
        <v>956</v>
      </c>
      <c r="T18" s="4" t="s">
        <v>983</v>
      </c>
      <c r="U18" s="4" t="s">
        <v>998</v>
      </c>
      <c r="V18" s="4" t="s">
        <v>886</v>
      </c>
      <c r="X18" s="4" t="s">
        <v>1044</v>
      </c>
      <c r="Y18" s="4" t="s">
        <v>1063</v>
      </c>
      <c r="Z18" s="4" t="s">
        <v>1082</v>
      </c>
      <c r="AA18" s="4" t="s">
        <v>1105</v>
      </c>
    </row>
    <row r="19" spans="1:27">
      <c r="J19" s="4" t="s">
        <v>751</v>
      </c>
      <c r="K19" s="4" t="s">
        <v>773</v>
      </c>
      <c r="L19" s="4" t="s">
        <v>795</v>
      </c>
      <c r="N19" s="4" t="s">
        <v>840</v>
      </c>
      <c r="P19" s="4" t="s">
        <v>878</v>
      </c>
      <c r="Q19" s="4" t="s">
        <v>903</v>
      </c>
      <c r="R19" s="4" t="s">
        <v>929</v>
      </c>
      <c r="S19" s="4" t="s">
        <v>957</v>
      </c>
      <c r="T19" s="4" t="s">
        <v>984</v>
      </c>
      <c r="V19" s="4" t="s">
        <v>888</v>
      </c>
      <c r="X19" s="4" t="s">
        <v>1045</v>
      </c>
      <c r="Y19" s="4" t="s">
        <v>1064</v>
      </c>
      <c r="Z19" s="4" t="s">
        <v>1083</v>
      </c>
      <c r="AA19" s="4" t="s">
        <v>1106</v>
      </c>
    </row>
    <row r="20" spans="1:27" ht="14.5">
      <c r="A20" s="27" t="s">
        <v>7</v>
      </c>
      <c r="J20" s="4" t="s">
        <v>752</v>
      </c>
      <c r="K20" s="4" t="s">
        <v>774</v>
      </c>
      <c r="L20" s="4" t="s">
        <v>796</v>
      </c>
      <c r="N20" s="4" t="s">
        <v>841</v>
      </c>
      <c r="P20" s="4" t="s">
        <v>879</v>
      </c>
      <c r="Q20" s="4" t="s">
        <v>904</v>
      </c>
      <c r="R20" s="4" t="s">
        <v>930</v>
      </c>
      <c r="S20" s="4" t="s">
        <v>958</v>
      </c>
      <c r="T20" s="4" t="s">
        <v>985</v>
      </c>
      <c r="X20" s="4" t="s">
        <v>876</v>
      </c>
      <c r="Y20" s="4" t="s">
        <v>1065</v>
      </c>
      <c r="Z20" s="4" t="s">
        <v>1084</v>
      </c>
      <c r="AA20" s="4" t="s">
        <v>1107</v>
      </c>
    </row>
    <row r="21" spans="1:27">
      <c r="J21" s="4" t="s">
        <v>753</v>
      </c>
      <c r="K21" s="4" t="s">
        <v>775</v>
      </c>
      <c r="L21" s="4" t="s">
        <v>797</v>
      </c>
      <c r="N21" s="4" t="s">
        <v>842</v>
      </c>
      <c r="P21" s="4" t="s">
        <v>880</v>
      </c>
      <c r="Q21" s="4" t="s">
        <v>905</v>
      </c>
      <c r="R21" s="4" t="s">
        <v>931</v>
      </c>
      <c r="S21" s="4" t="s">
        <v>959</v>
      </c>
      <c r="X21" s="4" t="s">
        <v>877</v>
      </c>
      <c r="Z21" s="4" t="s">
        <v>1085</v>
      </c>
      <c r="AA21" s="4" t="s">
        <v>1108</v>
      </c>
    </row>
    <row r="22" spans="1:27">
      <c r="J22" s="4" t="s">
        <v>754</v>
      </c>
      <c r="K22" s="4" t="s">
        <v>776</v>
      </c>
      <c r="L22" s="4" t="s">
        <v>798</v>
      </c>
      <c r="N22" s="4" t="s">
        <v>843</v>
      </c>
      <c r="P22" s="4" t="s">
        <v>881</v>
      </c>
      <c r="Q22" s="4" t="s">
        <v>906</v>
      </c>
      <c r="R22" s="4" t="s">
        <v>932</v>
      </c>
      <c r="S22" s="4" t="s">
        <v>960</v>
      </c>
      <c r="X22" s="4" t="s">
        <v>878</v>
      </c>
      <c r="Z22" s="4" t="s">
        <v>1086</v>
      </c>
    </row>
    <row r="23" spans="1:27">
      <c r="J23" s="4" t="s">
        <v>755</v>
      </c>
      <c r="L23" s="4" t="s">
        <v>799</v>
      </c>
      <c r="N23" s="4" t="s">
        <v>844</v>
      </c>
      <c r="P23" s="4" t="s">
        <v>882</v>
      </c>
      <c r="Q23" s="4" t="s">
        <v>907</v>
      </c>
      <c r="R23" s="4" t="s">
        <v>933</v>
      </c>
      <c r="S23" s="4" t="s">
        <v>961</v>
      </c>
      <c r="X23" s="4" t="s">
        <v>1046</v>
      </c>
      <c r="Z23" s="4" t="s">
        <v>1087</v>
      </c>
    </row>
    <row r="24" spans="1:27">
      <c r="L24" s="4" t="s">
        <v>800</v>
      </c>
      <c r="P24" s="4" t="s">
        <v>883</v>
      </c>
      <c r="Q24" s="4" t="s">
        <v>821</v>
      </c>
      <c r="R24" s="4" t="s">
        <v>934</v>
      </c>
      <c r="S24" s="4" t="s">
        <v>962</v>
      </c>
    </row>
    <row r="25" spans="1:27">
      <c r="L25" s="4" t="s">
        <v>801</v>
      </c>
      <c r="P25" s="4" t="s">
        <v>884</v>
      </c>
      <c r="Q25" s="4" t="s">
        <v>908</v>
      </c>
      <c r="R25" s="4" t="s">
        <v>935</v>
      </c>
      <c r="S25" s="4" t="s">
        <v>963</v>
      </c>
    </row>
    <row r="26" spans="1:27">
      <c r="L26" s="4" t="s">
        <v>802</v>
      </c>
      <c r="Q26" s="4" t="s">
        <v>909</v>
      </c>
      <c r="R26" s="4" t="s">
        <v>936</v>
      </c>
      <c r="S26" s="4" t="s">
        <v>964</v>
      </c>
    </row>
    <row r="27" spans="1:27">
      <c r="L27" s="4" t="s">
        <v>803</v>
      </c>
      <c r="Q27" s="4" t="s">
        <v>910</v>
      </c>
      <c r="R27" s="4" t="s">
        <v>937</v>
      </c>
      <c r="S27" s="4" t="s">
        <v>965</v>
      </c>
    </row>
    <row r="28" spans="1:27">
      <c r="R28" s="4" t="s">
        <v>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10" zoomScale="83" zoomScaleNormal="83" workbookViewId="0">
      <selection activeCell="A21" sqref="A21:H25"/>
    </sheetView>
  </sheetViews>
  <sheetFormatPr baseColWidth="10" defaultColWidth="8.6640625" defaultRowHeight="14"/>
  <cols>
    <col min="1" max="1" width="20" customWidth="1"/>
    <col min="2" max="2" width="24.6640625" customWidth="1"/>
    <col min="3" max="3" width="65" customWidth="1"/>
    <col min="4" max="4" width="22" customWidth="1"/>
    <col min="5" max="8" width="14" customWidth="1"/>
  </cols>
  <sheetData>
    <row r="1" spans="1:8" ht="20" customHeight="1">
      <c r="A1" s="94" t="s">
        <v>48</v>
      </c>
      <c r="B1" s="95"/>
      <c r="C1" s="95"/>
      <c r="D1" s="95"/>
      <c r="E1" s="95"/>
      <c r="F1" s="95"/>
      <c r="G1" s="95"/>
      <c r="H1" s="95"/>
    </row>
    <row r="2" spans="1:8">
      <c r="A2" s="95"/>
      <c r="B2" s="95"/>
      <c r="C2" s="95"/>
      <c r="D2" s="95"/>
      <c r="E2" s="95"/>
      <c r="F2" s="95"/>
      <c r="G2" s="95"/>
      <c r="H2" s="95"/>
    </row>
    <row r="4" spans="1:8">
      <c r="A4" s="96" t="s">
        <v>49</v>
      </c>
      <c r="B4" s="96"/>
      <c r="C4" s="96"/>
      <c r="D4" s="96"/>
      <c r="E4" s="96"/>
      <c r="F4" s="96"/>
      <c r="G4" s="96"/>
      <c r="H4" s="96"/>
    </row>
    <row r="5" spans="1:8">
      <c r="A5" s="97" t="s">
        <v>50</v>
      </c>
      <c r="B5" s="97"/>
      <c r="C5" s="97"/>
      <c r="D5" s="97"/>
      <c r="E5" s="97"/>
      <c r="F5" s="97"/>
      <c r="G5" s="97"/>
      <c r="H5" s="97"/>
    </row>
    <row r="6" spans="1:8">
      <c r="A6" s="97"/>
      <c r="B6" s="97"/>
      <c r="C6" s="97"/>
      <c r="D6" s="97"/>
      <c r="E6" s="97"/>
      <c r="F6" s="97"/>
      <c r="G6" s="97"/>
      <c r="H6" s="97"/>
    </row>
    <row r="7" spans="1:8">
      <c r="A7" s="97"/>
      <c r="B7" s="97"/>
      <c r="C7" s="97"/>
      <c r="D7" s="97"/>
      <c r="E7" s="97"/>
      <c r="F7" s="97"/>
      <c r="G7" s="97"/>
      <c r="H7" s="97"/>
    </row>
    <row r="9" spans="1:8">
      <c r="A9" s="96" t="s">
        <v>51</v>
      </c>
      <c r="B9" s="96"/>
      <c r="C9" s="96"/>
      <c r="D9" s="96"/>
      <c r="E9" s="96"/>
      <c r="F9" s="96"/>
      <c r="G9" s="96"/>
      <c r="H9" s="96"/>
    </row>
    <row r="10" spans="1:8">
      <c r="A10" s="1" t="s">
        <v>52</v>
      </c>
      <c r="B10" s="2" t="s">
        <v>53</v>
      </c>
      <c r="C10" s="2" t="s">
        <v>54</v>
      </c>
      <c r="D10" s="3" t="s">
        <v>55</v>
      </c>
    </row>
    <row r="11" spans="1:8">
      <c r="A11" s="64" t="s">
        <v>56</v>
      </c>
      <c r="B11" s="63" t="s">
        <v>57</v>
      </c>
      <c r="C11" s="63" t="s">
        <v>58</v>
      </c>
      <c r="D11" s="63" t="s">
        <v>59</v>
      </c>
    </row>
    <row r="12" spans="1:8">
      <c r="A12" s="64" t="s">
        <v>60</v>
      </c>
      <c r="B12" s="63" t="s">
        <v>61</v>
      </c>
      <c r="C12" s="63" t="s">
        <v>62</v>
      </c>
      <c r="D12" s="63" t="s">
        <v>63</v>
      </c>
    </row>
    <row r="13" spans="1:8">
      <c r="A13" s="64" t="s">
        <v>64</v>
      </c>
      <c r="B13" s="63" t="s">
        <v>65</v>
      </c>
      <c r="C13" s="63" t="s">
        <v>66</v>
      </c>
      <c r="D13" s="63" t="s">
        <v>67</v>
      </c>
    </row>
    <row r="14" spans="1:8">
      <c r="A14" s="64" t="s">
        <v>68</v>
      </c>
      <c r="B14" s="63" t="s">
        <v>69</v>
      </c>
      <c r="C14" s="63" t="s">
        <v>70</v>
      </c>
      <c r="D14" s="63" t="s">
        <v>71</v>
      </c>
    </row>
    <row r="15" spans="1:8">
      <c r="A15" s="64" t="s">
        <v>72</v>
      </c>
      <c r="B15" s="63" t="s">
        <v>73</v>
      </c>
      <c r="C15" s="63" t="s">
        <v>74</v>
      </c>
      <c r="D15" s="63" t="s">
        <v>75</v>
      </c>
    </row>
    <row r="16" spans="1:8">
      <c r="A16" s="64" t="s">
        <v>76</v>
      </c>
      <c r="B16" s="63" t="s">
        <v>77</v>
      </c>
      <c r="C16" s="63" t="s">
        <v>78</v>
      </c>
      <c r="D16" s="63" t="s">
        <v>79</v>
      </c>
    </row>
    <row r="17" spans="1:8">
      <c r="A17" s="64" t="s">
        <v>80</v>
      </c>
      <c r="B17" s="63" t="s">
        <v>81</v>
      </c>
      <c r="C17" s="63" t="s">
        <v>82</v>
      </c>
      <c r="D17" s="63" t="s">
        <v>83</v>
      </c>
    </row>
    <row r="18" spans="1:8">
      <c r="A18" s="64" t="s">
        <v>84</v>
      </c>
      <c r="B18" s="63" t="s">
        <v>85</v>
      </c>
      <c r="C18" s="63" t="s">
        <v>86</v>
      </c>
      <c r="D18" s="63" t="s">
        <v>87</v>
      </c>
    </row>
    <row r="20" spans="1:8">
      <c r="A20" s="96" t="s">
        <v>88</v>
      </c>
      <c r="B20" s="96"/>
      <c r="C20" s="96"/>
      <c r="D20" s="96"/>
      <c r="E20" s="96"/>
      <c r="F20" s="96"/>
      <c r="G20" s="96"/>
      <c r="H20" s="96"/>
    </row>
    <row r="21" spans="1:8">
      <c r="A21" s="92" t="s">
        <v>89</v>
      </c>
      <c r="B21" s="92"/>
      <c r="C21" s="92"/>
      <c r="D21" s="92"/>
      <c r="E21" s="92"/>
      <c r="F21" s="92"/>
      <c r="G21" s="92"/>
      <c r="H21" s="92"/>
    </row>
    <row r="22" spans="1:8">
      <c r="A22" s="92"/>
      <c r="B22" s="92"/>
      <c r="C22" s="92"/>
      <c r="D22" s="92"/>
      <c r="E22" s="92"/>
      <c r="F22" s="92"/>
      <c r="G22" s="92"/>
      <c r="H22" s="92"/>
    </row>
    <row r="23" spans="1:8">
      <c r="A23" s="92"/>
      <c r="B23" s="92"/>
      <c r="C23" s="92"/>
      <c r="D23" s="92"/>
      <c r="E23" s="92"/>
      <c r="F23" s="92"/>
      <c r="G23" s="92"/>
      <c r="H23" s="92"/>
    </row>
    <row r="24" spans="1:8">
      <c r="A24" s="92"/>
      <c r="B24" s="92"/>
      <c r="C24" s="92"/>
      <c r="D24" s="92"/>
      <c r="E24" s="92"/>
      <c r="F24" s="92"/>
      <c r="G24" s="92"/>
      <c r="H24" s="92"/>
    </row>
    <row r="25" spans="1:8">
      <c r="A25" s="92"/>
      <c r="B25" s="92"/>
      <c r="C25" s="92"/>
      <c r="D25" s="92"/>
      <c r="E25" s="92"/>
      <c r="F25" s="92"/>
      <c r="G25" s="92"/>
      <c r="H25" s="92"/>
    </row>
    <row r="27" spans="1:8" ht="16" customHeight="1">
      <c r="A27" s="93" t="s">
        <v>90</v>
      </c>
      <c r="B27" s="93"/>
      <c r="C27" s="93"/>
      <c r="D27" s="93"/>
      <c r="E27" s="93"/>
      <c r="F27" s="93"/>
      <c r="G27" s="93"/>
      <c r="H27" s="93"/>
    </row>
    <row r="28" spans="1:8">
      <c r="A28" s="28" t="s">
        <v>53</v>
      </c>
      <c r="B28" s="28" t="s">
        <v>91</v>
      </c>
      <c r="C28" s="28" t="s">
        <v>92</v>
      </c>
    </row>
    <row r="29" spans="1:8" ht="28" customHeight="1">
      <c r="A29" s="29" t="s">
        <v>59</v>
      </c>
      <c r="B29" s="30" t="s">
        <v>93</v>
      </c>
      <c r="C29" s="31" t="s">
        <v>94</v>
      </c>
    </row>
    <row r="30" spans="1:8" ht="28" customHeight="1">
      <c r="A30" s="32" t="s">
        <v>63</v>
      </c>
      <c r="B30" s="33" t="s">
        <v>95</v>
      </c>
      <c r="C30" s="34" t="s">
        <v>96</v>
      </c>
    </row>
    <row r="31" spans="1:8" ht="28" customHeight="1">
      <c r="A31" s="32" t="s">
        <v>67</v>
      </c>
      <c r="B31" s="33" t="s">
        <v>97</v>
      </c>
      <c r="C31" s="34" t="s">
        <v>98</v>
      </c>
    </row>
    <row r="32" spans="1:8" ht="28" customHeight="1">
      <c r="A32" s="32" t="s">
        <v>71</v>
      </c>
      <c r="B32" s="33" t="s">
        <v>99</v>
      </c>
      <c r="C32" s="34" t="s">
        <v>100</v>
      </c>
    </row>
    <row r="33" spans="1:3" ht="28" customHeight="1">
      <c r="A33" s="32" t="s">
        <v>75</v>
      </c>
      <c r="B33" s="33" t="s">
        <v>101</v>
      </c>
      <c r="C33" s="34" t="s">
        <v>102</v>
      </c>
    </row>
    <row r="34" spans="1:3" ht="28" customHeight="1">
      <c r="A34" s="32" t="s">
        <v>79</v>
      </c>
      <c r="B34" s="33" t="s">
        <v>103</v>
      </c>
      <c r="C34" s="34" t="s">
        <v>104</v>
      </c>
    </row>
    <row r="35" spans="1:3" ht="28" customHeight="1">
      <c r="A35" s="35" t="s">
        <v>83</v>
      </c>
      <c r="B35" s="36" t="s">
        <v>105</v>
      </c>
      <c r="C35" s="37" t="s">
        <v>106</v>
      </c>
    </row>
  </sheetData>
  <mergeCells count="7">
    <mergeCell ref="A21:H25"/>
    <mergeCell ref="A27:H27"/>
    <mergeCell ref="A1:H2"/>
    <mergeCell ref="A4:H4"/>
    <mergeCell ref="A5:H7"/>
    <mergeCell ref="A9:H9"/>
    <mergeCell ref="A20:H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topLeftCell="A4" workbookViewId="0">
      <selection activeCell="B6" sqref="B6"/>
    </sheetView>
  </sheetViews>
  <sheetFormatPr baseColWidth="10" defaultColWidth="8.6640625" defaultRowHeight="14"/>
  <cols>
    <col min="1" max="1" width="12" customWidth="1"/>
    <col min="2" max="2" width="25" customWidth="1"/>
    <col min="3" max="3" width="22" customWidth="1"/>
    <col min="4" max="4" width="13" customWidth="1"/>
    <col min="5" max="5" width="9" customWidth="1"/>
    <col min="6" max="6" width="18" customWidth="1"/>
    <col min="7" max="7" width="19" customWidth="1"/>
    <col min="8" max="9" width="24" customWidth="1"/>
    <col min="10" max="10" width="12" customWidth="1"/>
    <col min="11" max="11" width="21" customWidth="1"/>
    <col min="12" max="12" width="24" customWidth="1"/>
    <col min="13" max="13" width="20" customWidth="1"/>
    <col min="14" max="15" width="18" customWidth="1"/>
    <col min="16" max="16" width="35" customWidth="1"/>
  </cols>
  <sheetData>
    <row r="1" spans="1:16" ht="20" customHeight="1">
      <c r="A1" s="94" t="s">
        <v>107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6" ht="29.4" customHeight="1">
      <c r="A3" s="98" t="s">
        <v>108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1:16" ht="42">
      <c r="A4" s="1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 t="s">
        <v>1</v>
      </c>
      <c r="G4" s="2" t="s">
        <v>114</v>
      </c>
      <c r="H4" s="2" t="s">
        <v>115</v>
      </c>
      <c r="I4" s="2" t="s">
        <v>116</v>
      </c>
      <c r="J4" s="2" t="s">
        <v>117</v>
      </c>
      <c r="K4" s="2" t="s">
        <v>118</v>
      </c>
      <c r="L4" s="2" t="s">
        <v>119</v>
      </c>
      <c r="M4" s="2" t="s">
        <v>120</v>
      </c>
      <c r="N4" s="2" t="s">
        <v>121</v>
      </c>
      <c r="O4" s="2" t="s">
        <v>122</v>
      </c>
      <c r="P4" s="3" t="s">
        <v>123</v>
      </c>
    </row>
    <row r="5" spans="1:16" ht="28">
      <c r="A5" s="5" t="str">
        <f t="shared" ref="A5:A36" si="0">IF(B5="","","FAM-"&amp;TEXT(ROW()-4,"000"))</f>
        <v>FAM-001</v>
      </c>
      <c r="B5" s="59" t="s">
        <v>676</v>
      </c>
      <c r="C5" s="59" t="s">
        <v>11</v>
      </c>
      <c r="D5" s="59" t="s">
        <v>677</v>
      </c>
      <c r="E5" s="60">
        <v>65</v>
      </c>
      <c r="F5" s="59" t="s">
        <v>30</v>
      </c>
      <c r="G5" s="60"/>
      <c r="H5" s="59" t="s">
        <v>15</v>
      </c>
      <c r="I5" s="59" t="s">
        <v>8</v>
      </c>
      <c r="J5" s="61">
        <v>2</v>
      </c>
      <c r="K5" s="59" t="s">
        <v>8</v>
      </c>
      <c r="L5" s="59" t="s">
        <v>678</v>
      </c>
      <c r="M5" s="59" t="s">
        <v>679</v>
      </c>
      <c r="N5" s="59" t="s">
        <v>680</v>
      </c>
      <c r="O5" s="59" t="s">
        <v>8</v>
      </c>
      <c r="P5" s="59"/>
    </row>
    <row r="6" spans="1:16" ht="28">
      <c r="A6" s="8" t="str">
        <f t="shared" si="0"/>
        <v>FAM-002</v>
      </c>
      <c r="B6" s="59" t="s">
        <v>681</v>
      </c>
      <c r="C6" s="59" t="s">
        <v>11</v>
      </c>
      <c r="D6" s="59" t="s">
        <v>677</v>
      </c>
      <c r="E6" s="60">
        <v>68</v>
      </c>
      <c r="F6" s="59" t="s">
        <v>30</v>
      </c>
      <c r="G6" s="60"/>
      <c r="H6" s="59" t="s">
        <v>15</v>
      </c>
      <c r="I6" s="59" t="s">
        <v>8</v>
      </c>
      <c r="J6" s="61">
        <v>2</v>
      </c>
      <c r="K6" s="59" t="s">
        <v>8</v>
      </c>
      <c r="L6" s="59" t="s">
        <v>678</v>
      </c>
      <c r="M6" s="59" t="s">
        <v>682</v>
      </c>
      <c r="N6" s="59" t="s">
        <v>680</v>
      </c>
      <c r="O6" s="59" t="s">
        <v>8</v>
      </c>
      <c r="P6" s="59"/>
    </row>
    <row r="7" spans="1:16" ht="28">
      <c r="A7" s="8" t="str">
        <f t="shared" si="0"/>
        <v>FAM-003</v>
      </c>
      <c r="B7" s="59" t="s">
        <v>695</v>
      </c>
      <c r="C7" s="59" t="s">
        <v>18</v>
      </c>
      <c r="D7" s="59" t="s">
        <v>683</v>
      </c>
      <c r="E7" s="60">
        <v>35</v>
      </c>
      <c r="F7" s="59" t="s">
        <v>23</v>
      </c>
      <c r="G7" s="60"/>
      <c r="H7" s="59" t="s">
        <v>15</v>
      </c>
      <c r="I7" s="59"/>
      <c r="J7" s="61">
        <v>0</v>
      </c>
      <c r="K7" s="59" t="s">
        <v>8</v>
      </c>
      <c r="L7" s="59" t="s">
        <v>678</v>
      </c>
      <c r="M7" s="62" t="s">
        <v>684</v>
      </c>
      <c r="N7" s="59" t="s">
        <v>680</v>
      </c>
      <c r="O7" s="59" t="s">
        <v>8</v>
      </c>
      <c r="P7" s="59"/>
    </row>
    <row r="8" spans="1:16" ht="28">
      <c r="A8" s="8" t="str">
        <f t="shared" si="0"/>
        <v>FAM-004</v>
      </c>
      <c r="B8" s="59" t="s">
        <v>685</v>
      </c>
      <c r="C8" s="59" t="s">
        <v>18</v>
      </c>
      <c r="D8" s="59" t="s">
        <v>683</v>
      </c>
      <c r="E8" s="60">
        <v>31</v>
      </c>
      <c r="F8" s="59" t="s">
        <v>9</v>
      </c>
      <c r="G8" s="60"/>
      <c r="H8" s="59" t="s">
        <v>15</v>
      </c>
      <c r="I8" s="59"/>
      <c r="J8" s="61">
        <v>0</v>
      </c>
      <c r="K8" s="59" t="s">
        <v>15</v>
      </c>
      <c r="L8" s="59" t="s">
        <v>686</v>
      </c>
      <c r="M8" s="62" t="s">
        <v>679</v>
      </c>
      <c r="N8" s="59" t="s">
        <v>680</v>
      </c>
      <c r="O8" s="59" t="s">
        <v>8</v>
      </c>
      <c r="P8" s="59"/>
    </row>
    <row r="9" spans="1:16">
      <c r="A9" s="8" t="str">
        <f t="shared" si="0"/>
        <v/>
      </c>
      <c r="B9" s="9"/>
      <c r="C9" s="9"/>
      <c r="D9" s="9"/>
      <c r="E9" s="15"/>
      <c r="F9" s="9"/>
      <c r="G9" s="15"/>
      <c r="H9" s="9"/>
      <c r="I9" s="9"/>
      <c r="J9" s="15"/>
      <c r="K9" s="9"/>
      <c r="L9" s="9"/>
      <c r="M9" s="9"/>
      <c r="N9" s="9"/>
      <c r="O9" s="9"/>
      <c r="P9" s="10"/>
    </row>
    <row r="10" spans="1:16">
      <c r="A10" s="8" t="str">
        <f t="shared" si="0"/>
        <v/>
      </c>
      <c r="B10" s="9"/>
      <c r="C10" s="9"/>
      <c r="D10" s="9"/>
      <c r="E10" s="15"/>
      <c r="F10" s="9"/>
      <c r="G10" s="15"/>
      <c r="H10" s="9"/>
      <c r="I10" s="9"/>
      <c r="J10" s="15"/>
      <c r="K10" s="9"/>
      <c r="L10" s="9"/>
      <c r="M10" s="9"/>
      <c r="N10" s="9"/>
      <c r="O10" s="9"/>
      <c r="P10" s="10"/>
    </row>
    <row r="11" spans="1:16">
      <c r="A11" s="8" t="str">
        <f t="shared" si="0"/>
        <v/>
      </c>
      <c r="B11" s="9"/>
      <c r="C11" s="9"/>
      <c r="D11" s="9"/>
      <c r="E11" s="15"/>
      <c r="F11" s="9"/>
      <c r="G11" s="15"/>
      <c r="H11" s="9"/>
      <c r="I11" s="9"/>
      <c r="J11" s="15"/>
      <c r="K11" s="9"/>
      <c r="L11" s="9"/>
      <c r="M11" s="9"/>
      <c r="N11" s="9"/>
      <c r="O11" s="9"/>
      <c r="P11" s="10"/>
    </row>
    <row r="12" spans="1:16">
      <c r="A12" s="8" t="str">
        <f t="shared" si="0"/>
        <v/>
      </c>
      <c r="B12" s="9"/>
      <c r="C12" s="9"/>
      <c r="D12" s="9"/>
      <c r="E12" s="15"/>
      <c r="F12" s="9"/>
      <c r="G12" s="15"/>
      <c r="H12" s="9"/>
      <c r="I12" s="9"/>
      <c r="J12" s="15"/>
      <c r="K12" s="9"/>
      <c r="L12" s="9"/>
      <c r="M12" s="9"/>
      <c r="N12" s="9"/>
      <c r="O12" s="9"/>
      <c r="P12" s="10"/>
    </row>
    <row r="13" spans="1:16">
      <c r="A13" s="8" t="str">
        <f t="shared" si="0"/>
        <v/>
      </c>
      <c r="B13" s="9"/>
      <c r="C13" s="9"/>
      <c r="D13" s="9"/>
      <c r="E13" s="15"/>
      <c r="F13" s="9"/>
      <c r="G13" s="15"/>
      <c r="H13" s="9"/>
      <c r="I13" s="9"/>
      <c r="J13" s="15"/>
      <c r="K13" s="9"/>
      <c r="L13" s="9"/>
      <c r="M13" s="9"/>
      <c r="N13" s="9"/>
      <c r="O13" s="9"/>
      <c r="P13" s="10"/>
    </row>
    <row r="14" spans="1:16">
      <c r="A14" s="8" t="str">
        <f t="shared" si="0"/>
        <v/>
      </c>
      <c r="B14" s="9"/>
      <c r="C14" s="9"/>
      <c r="D14" s="9"/>
      <c r="E14" s="15"/>
      <c r="F14" s="9"/>
      <c r="G14" s="15"/>
      <c r="H14" s="9"/>
      <c r="I14" s="9"/>
      <c r="J14" s="15"/>
      <c r="K14" s="9"/>
      <c r="L14" s="9"/>
      <c r="M14" s="9"/>
      <c r="N14" s="9"/>
      <c r="O14" s="9"/>
      <c r="P14" s="10"/>
    </row>
    <row r="15" spans="1:16">
      <c r="A15" s="8" t="str">
        <f t="shared" si="0"/>
        <v/>
      </c>
      <c r="B15" s="9"/>
      <c r="C15" s="9"/>
      <c r="D15" s="9"/>
      <c r="E15" s="15"/>
      <c r="F15" s="9"/>
      <c r="G15" s="15"/>
      <c r="H15" s="9"/>
      <c r="I15" s="9"/>
      <c r="J15" s="15"/>
      <c r="K15" s="9"/>
      <c r="L15" s="9"/>
      <c r="M15" s="9"/>
      <c r="N15" s="9"/>
      <c r="O15" s="9"/>
      <c r="P15" s="10"/>
    </row>
    <row r="16" spans="1:16">
      <c r="A16" s="8" t="str">
        <f t="shared" si="0"/>
        <v/>
      </c>
      <c r="B16" s="9"/>
      <c r="C16" s="9"/>
      <c r="D16" s="9"/>
      <c r="E16" s="15"/>
      <c r="F16" s="9"/>
      <c r="G16" s="15"/>
      <c r="H16" s="9"/>
      <c r="I16" s="9"/>
      <c r="J16" s="15"/>
      <c r="K16" s="9"/>
      <c r="L16" s="9"/>
      <c r="M16" s="9"/>
      <c r="N16" s="9"/>
      <c r="O16" s="9"/>
      <c r="P16" s="10"/>
    </row>
    <row r="17" spans="1:16">
      <c r="A17" s="8" t="str">
        <f t="shared" si="0"/>
        <v/>
      </c>
      <c r="B17" s="9"/>
      <c r="C17" s="9"/>
      <c r="D17" s="9"/>
      <c r="E17" s="15"/>
      <c r="F17" s="9"/>
      <c r="G17" s="15"/>
      <c r="H17" s="9"/>
      <c r="I17" s="9"/>
      <c r="J17" s="15"/>
      <c r="K17" s="9"/>
      <c r="L17" s="9"/>
      <c r="M17" s="9"/>
      <c r="N17" s="9"/>
      <c r="O17" s="9"/>
      <c r="P17" s="10"/>
    </row>
    <row r="18" spans="1:16">
      <c r="A18" s="8" t="str">
        <f t="shared" si="0"/>
        <v/>
      </c>
      <c r="B18" s="9"/>
      <c r="C18" s="9"/>
      <c r="D18" s="9"/>
      <c r="E18" s="15"/>
      <c r="F18" s="9"/>
      <c r="G18" s="15"/>
      <c r="H18" s="9"/>
      <c r="I18" s="9"/>
      <c r="J18" s="15"/>
      <c r="K18" s="9"/>
      <c r="L18" s="9"/>
      <c r="M18" s="9"/>
      <c r="N18" s="9"/>
      <c r="O18" s="9"/>
      <c r="P18" s="10"/>
    </row>
    <row r="19" spans="1:16">
      <c r="A19" s="8" t="str">
        <f t="shared" si="0"/>
        <v/>
      </c>
      <c r="B19" s="9"/>
      <c r="C19" s="9"/>
      <c r="D19" s="9"/>
      <c r="E19" s="15"/>
      <c r="F19" s="9"/>
      <c r="G19" s="15"/>
      <c r="H19" s="9"/>
      <c r="I19" s="9"/>
      <c r="J19" s="15"/>
      <c r="K19" s="9"/>
      <c r="L19" s="9"/>
      <c r="M19" s="9"/>
      <c r="N19" s="9"/>
      <c r="O19" s="9"/>
      <c r="P19" s="10"/>
    </row>
    <row r="20" spans="1:16">
      <c r="A20" s="8" t="str">
        <f t="shared" si="0"/>
        <v/>
      </c>
      <c r="B20" s="9"/>
      <c r="C20" s="9"/>
      <c r="D20" s="9"/>
      <c r="E20" s="15"/>
      <c r="F20" s="9"/>
      <c r="G20" s="15"/>
      <c r="H20" s="9"/>
      <c r="I20" s="9"/>
      <c r="J20" s="15"/>
      <c r="K20" s="9"/>
      <c r="L20" s="9"/>
      <c r="M20" s="9"/>
      <c r="N20" s="9"/>
      <c r="O20" s="9"/>
      <c r="P20" s="10"/>
    </row>
    <row r="21" spans="1:16">
      <c r="A21" s="8" t="str">
        <f t="shared" si="0"/>
        <v/>
      </c>
      <c r="B21" s="9"/>
      <c r="C21" s="9"/>
      <c r="D21" s="9"/>
      <c r="E21" s="15"/>
      <c r="F21" s="9"/>
      <c r="G21" s="15"/>
      <c r="H21" s="9"/>
      <c r="I21" s="9"/>
      <c r="J21" s="15"/>
      <c r="K21" s="9"/>
      <c r="L21" s="9"/>
      <c r="M21" s="9"/>
      <c r="N21" s="9"/>
      <c r="O21" s="9"/>
      <c r="P21" s="10"/>
    </row>
    <row r="22" spans="1:16">
      <c r="A22" s="8" t="str">
        <f t="shared" si="0"/>
        <v/>
      </c>
      <c r="B22" s="9"/>
      <c r="C22" s="9"/>
      <c r="D22" s="9"/>
      <c r="E22" s="15"/>
      <c r="F22" s="9"/>
      <c r="G22" s="15"/>
      <c r="H22" s="9"/>
      <c r="I22" s="9"/>
      <c r="J22" s="15"/>
      <c r="K22" s="9"/>
      <c r="L22" s="9"/>
      <c r="M22" s="9"/>
      <c r="N22" s="9"/>
      <c r="O22" s="9"/>
      <c r="P22" s="10"/>
    </row>
    <row r="23" spans="1:16">
      <c r="A23" s="8" t="str">
        <f t="shared" si="0"/>
        <v/>
      </c>
      <c r="B23" s="9"/>
      <c r="C23" s="9"/>
      <c r="D23" s="9"/>
      <c r="E23" s="15"/>
      <c r="F23" s="9"/>
      <c r="G23" s="15"/>
      <c r="H23" s="9"/>
      <c r="I23" s="9"/>
      <c r="J23" s="15"/>
      <c r="K23" s="9"/>
      <c r="L23" s="9"/>
      <c r="M23" s="9"/>
      <c r="N23" s="9"/>
      <c r="O23" s="9"/>
      <c r="P23" s="10"/>
    </row>
    <row r="24" spans="1:16">
      <c r="A24" s="8" t="str">
        <f t="shared" si="0"/>
        <v/>
      </c>
      <c r="B24" s="9"/>
      <c r="C24" s="9"/>
      <c r="D24" s="9"/>
      <c r="E24" s="15"/>
      <c r="F24" s="9"/>
      <c r="G24" s="15"/>
      <c r="H24" s="9"/>
      <c r="I24" s="9"/>
      <c r="J24" s="15"/>
      <c r="K24" s="9"/>
      <c r="L24" s="9"/>
      <c r="M24" s="9"/>
      <c r="N24" s="9"/>
      <c r="O24" s="9"/>
      <c r="P24" s="10"/>
    </row>
    <row r="25" spans="1:16">
      <c r="A25" s="8" t="str">
        <f t="shared" si="0"/>
        <v/>
      </c>
      <c r="B25" s="9"/>
      <c r="C25" s="9"/>
      <c r="D25" s="9"/>
      <c r="E25" s="15"/>
      <c r="F25" s="9"/>
      <c r="G25" s="15"/>
      <c r="H25" s="9"/>
      <c r="I25" s="9"/>
      <c r="J25" s="15"/>
      <c r="K25" s="9"/>
      <c r="L25" s="9"/>
      <c r="M25" s="9"/>
      <c r="N25" s="9"/>
      <c r="O25" s="9"/>
      <c r="P25" s="10"/>
    </row>
    <row r="26" spans="1:16">
      <c r="A26" s="8" t="str">
        <f t="shared" si="0"/>
        <v/>
      </c>
      <c r="B26" s="9"/>
      <c r="C26" s="9"/>
      <c r="D26" s="9"/>
      <c r="E26" s="15"/>
      <c r="F26" s="9"/>
      <c r="G26" s="15"/>
      <c r="H26" s="9"/>
      <c r="I26" s="9"/>
      <c r="J26" s="15"/>
      <c r="K26" s="9"/>
      <c r="L26" s="9"/>
      <c r="M26" s="9"/>
      <c r="N26" s="9"/>
      <c r="O26" s="9"/>
      <c r="P26" s="10"/>
    </row>
    <row r="27" spans="1:16">
      <c r="A27" s="8" t="str">
        <f t="shared" si="0"/>
        <v/>
      </c>
      <c r="B27" s="9"/>
      <c r="C27" s="9"/>
      <c r="D27" s="9"/>
      <c r="E27" s="15"/>
      <c r="F27" s="9"/>
      <c r="G27" s="15"/>
      <c r="H27" s="9"/>
      <c r="I27" s="9"/>
      <c r="J27" s="15"/>
      <c r="K27" s="9"/>
      <c r="L27" s="9"/>
      <c r="M27" s="9"/>
      <c r="N27" s="9"/>
      <c r="O27" s="9"/>
      <c r="P27" s="10"/>
    </row>
    <row r="28" spans="1:16">
      <c r="A28" s="8" t="str">
        <f t="shared" si="0"/>
        <v/>
      </c>
      <c r="B28" s="9"/>
      <c r="C28" s="9"/>
      <c r="D28" s="9"/>
      <c r="E28" s="15"/>
      <c r="F28" s="9"/>
      <c r="G28" s="15"/>
      <c r="H28" s="9"/>
      <c r="I28" s="9"/>
      <c r="J28" s="15"/>
      <c r="K28" s="9"/>
      <c r="L28" s="9"/>
      <c r="M28" s="9"/>
      <c r="N28" s="9"/>
      <c r="O28" s="9"/>
      <c r="P28" s="10"/>
    </row>
    <row r="29" spans="1:16">
      <c r="A29" s="8" t="str">
        <f t="shared" si="0"/>
        <v/>
      </c>
      <c r="B29" s="9"/>
      <c r="C29" s="9"/>
      <c r="D29" s="9"/>
      <c r="E29" s="15"/>
      <c r="F29" s="9"/>
      <c r="G29" s="15"/>
      <c r="H29" s="9"/>
      <c r="I29" s="9"/>
      <c r="J29" s="15"/>
      <c r="K29" s="9"/>
      <c r="L29" s="9"/>
      <c r="M29" s="9"/>
      <c r="N29" s="9"/>
      <c r="O29" s="9"/>
      <c r="P29" s="10"/>
    </row>
    <row r="30" spans="1:16">
      <c r="A30" s="8" t="str">
        <f t="shared" si="0"/>
        <v/>
      </c>
      <c r="B30" s="9"/>
      <c r="C30" s="9"/>
      <c r="D30" s="9"/>
      <c r="E30" s="15"/>
      <c r="F30" s="9"/>
      <c r="G30" s="15"/>
      <c r="H30" s="9"/>
      <c r="I30" s="9"/>
      <c r="J30" s="15"/>
      <c r="K30" s="9"/>
      <c r="L30" s="9"/>
      <c r="M30" s="9"/>
      <c r="N30" s="9"/>
      <c r="O30" s="9"/>
      <c r="P30" s="10"/>
    </row>
    <row r="31" spans="1:16">
      <c r="A31" s="8" t="str">
        <f t="shared" si="0"/>
        <v/>
      </c>
      <c r="B31" s="9"/>
      <c r="C31" s="9"/>
      <c r="D31" s="9"/>
      <c r="E31" s="15"/>
      <c r="F31" s="9"/>
      <c r="G31" s="15"/>
      <c r="H31" s="9"/>
      <c r="I31" s="9"/>
      <c r="J31" s="15"/>
      <c r="K31" s="9"/>
      <c r="L31" s="9"/>
      <c r="M31" s="9"/>
      <c r="N31" s="9"/>
      <c r="O31" s="9"/>
      <c r="P31" s="10"/>
    </row>
    <row r="32" spans="1:16">
      <c r="A32" s="8" t="str">
        <f t="shared" si="0"/>
        <v/>
      </c>
      <c r="B32" s="9"/>
      <c r="C32" s="9"/>
      <c r="D32" s="9"/>
      <c r="E32" s="15"/>
      <c r="F32" s="9"/>
      <c r="G32" s="15"/>
      <c r="H32" s="9"/>
      <c r="I32" s="9"/>
      <c r="J32" s="15"/>
      <c r="K32" s="9"/>
      <c r="L32" s="9"/>
      <c r="M32" s="9"/>
      <c r="N32" s="9"/>
      <c r="O32" s="9"/>
      <c r="P32" s="10"/>
    </row>
    <row r="33" spans="1:16">
      <c r="A33" s="8" t="str">
        <f t="shared" si="0"/>
        <v/>
      </c>
      <c r="B33" s="9"/>
      <c r="C33" s="9"/>
      <c r="D33" s="9"/>
      <c r="E33" s="15"/>
      <c r="F33" s="9"/>
      <c r="G33" s="15"/>
      <c r="H33" s="9"/>
      <c r="I33" s="9"/>
      <c r="J33" s="15"/>
      <c r="K33" s="9"/>
      <c r="L33" s="9"/>
      <c r="M33" s="9"/>
      <c r="N33" s="9"/>
      <c r="O33" s="9"/>
      <c r="P33" s="10"/>
    </row>
    <row r="34" spans="1:16">
      <c r="A34" s="8" t="str">
        <f t="shared" si="0"/>
        <v/>
      </c>
      <c r="B34" s="9"/>
      <c r="C34" s="9"/>
      <c r="D34" s="9"/>
      <c r="E34" s="15"/>
      <c r="F34" s="9"/>
      <c r="G34" s="15"/>
      <c r="H34" s="9"/>
      <c r="I34" s="9"/>
      <c r="J34" s="15"/>
      <c r="K34" s="9"/>
      <c r="L34" s="9"/>
      <c r="M34" s="9"/>
      <c r="N34" s="9"/>
      <c r="O34" s="9"/>
      <c r="P34" s="10"/>
    </row>
    <row r="35" spans="1:16">
      <c r="A35" s="8" t="str">
        <f t="shared" si="0"/>
        <v/>
      </c>
      <c r="B35" s="9"/>
      <c r="C35" s="9"/>
      <c r="D35" s="9"/>
      <c r="E35" s="15"/>
      <c r="F35" s="9"/>
      <c r="G35" s="15"/>
      <c r="H35" s="9"/>
      <c r="I35" s="9"/>
      <c r="J35" s="15"/>
      <c r="K35" s="9"/>
      <c r="L35" s="9"/>
      <c r="M35" s="9"/>
      <c r="N35" s="9"/>
      <c r="O35" s="9"/>
      <c r="P35" s="10"/>
    </row>
    <row r="36" spans="1:16">
      <c r="A36" s="8" t="str">
        <f t="shared" si="0"/>
        <v/>
      </c>
      <c r="B36" s="9"/>
      <c r="C36" s="9"/>
      <c r="D36" s="9"/>
      <c r="E36" s="15"/>
      <c r="F36" s="9"/>
      <c r="G36" s="15"/>
      <c r="H36" s="9"/>
      <c r="I36" s="9"/>
      <c r="J36" s="15"/>
      <c r="K36" s="9"/>
      <c r="L36" s="9"/>
      <c r="M36" s="9"/>
      <c r="N36" s="9"/>
      <c r="O36" s="9"/>
      <c r="P36" s="10"/>
    </row>
    <row r="37" spans="1:16">
      <c r="A37" s="8" t="str">
        <f t="shared" ref="A37:A54" si="1">IF(B37="","","FAM-"&amp;TEXT(ROW()-4,"000"))</f>
        <v/>
      </c>
      <c r="B37" s="9"/>
      <c r="C37" s="9"/>
      <c r="D37" s="9"/>
      <c r="E37" s="15"/>
      <c r="F37" s="9"/>
      <c r="G37" s="15"/>
      <c r="H37" s="9"/>
      <c r="I37" s="9"/>
      <c r="J37" s="15"/>
      <c r="K37" s="9"/>
      <c r="L37" s="9"/>
      <c r="M37" s="9"/>
      <c r="N37" s="9"/>
      <c r="O37" s="9"/>
      <c r="P37" s="10"/>
    </row>
    <row r="38" spans="1:16">
      <c r="A38" s="8" t="str">
        <f t="shared" si="1"/>
        <v/>
      </c>
      <c r="B38" s="9"/>
      <c r="C38" s="9"/>
      <c r="D38" s="9"/>
      <c r="E38" s="15"/>
      <c r="F38" s="9"/>
      <c r="G38" s="15"/>
      <c r="H38" s="9"/>
      <c r="I38" s="9"/>
      <c r="J38" s="15"/>
      <c r="K38" s="9"/>
      <c r="L38" s="9"/>
      <c r="M38" s="9"/>
      <c r="N38" s="9"/>
      <c r="O38" s="9"/>
      <c r="P38" s="10"/>
    </row>
    <row r="39" spans="1:16">
      <c r="A39" s="8" t="str">
        <f t="shared" si="1"/>
        <v/>
      </c>
      <c r="B39" s="9"/>
      <c r="C39" s="9"/>
      <c r="D39" s="9"/>
      <c r="E39" s="15"/>
      <c r="F39" s="9"/>
      <c r="G39" s="15"/>
      <c r="H39" s="9"/>
      <c r="I39" s="9"/>
      <c r="J39" s="15"/>
      <c r="K39" s="9"/>
      <c r="L39" s="9"/>
      <c r="M39" s="9"/>
      <c r="N39" s="9"/>
      <c r="O39" s="9"/>
      <c r="P39" s="10"/>
    </row>
    <row r="40" spans="1:16">
      <c r="A40" s="8" t="str">
        <f t="shared" si="1"/>
        <v/>
      </c>
      <c r="B40" s="9"/>
      <c r="C40" s="9"/>
      <c r="D40" s="9"/>
      <c r="E40" s="15"/>
      <c r="F40" s="9"/>
      <c r="G40" s="15"/>
      <c r="H40" s="9"/>
      <c r="I40" s="9"/>
      <c r="J40" s="15"/>
      <c r="K40" s="9"/>
      <c r="L40" s="9"/>
      <c r="M40" s="9"/>
      <c r="N40" s="9"/>
      <c r="O40" s="9"/>
      <c r="P40" s="10"/>
    </row>
    <row r="41" spans="1:16">
      <c r="A41" s="8" t="str">
        <f t="shared" si="1"/>
        <v/>
      </c>
      <c r="B41" s="9"/>
      <c r="C41" s="9"/>
      <c r="D41" s="9"/>
      <c r="E41" s="15"/>
      <c r="F41" s="9"/>
      <c r="G41" s="15"/>
      <c r="H41" s="9"/>
      <c r="I41" s="9"/>
      <c r="J41" s="15"/>
      <c r="K41" s="9"/>
      <c r="L41" s="9"/>
      <c r="M41" s="9"/>
      <c r="N41" s="9"/>
      <c r="O41" s="9"/>
      <c r="P41" s="10"/>
    </row>
    <row r="42" spans="1:16">
      <c r="A42" s="8" t="str">
        <f t="shared" si="1"/>
        <v/>
      </c>
      <c r="B42" s="9"/>
      <c r="C42" s="9"/>
      <c r="D42" s="9"/>
      <c r="E42" s="15"/>
      <c r="F42" s="9"/>
      <c r="G42" s="15"/>
      <c r="H42" s="9"/>
      <c r="I42" s="9"/>
      <c r="J42" s="15"/>
      <c r="K42" s="9"/>
      <c r="L42" s="9"/>
      <c r="M42" s="9"/>
      <c r="N42" s="9"/>
      <c r="O42" s="9"/>
      <c r="P42" s="10"/>
    </row>
    <row r="43" spans="1:16">
      <c r="A43" s="8" t="str">
        <f t="shared" si="1"/>
        <v/>
      </c>
      <c r="B43" s="9"/>
      <c r="C43" s="9"/>
      <c r="D43" s="9"/>
      <c r="E43" s="15"/>
      <c r="F43" s="9"/>
      <c r="G43" s="15"/>
      <c r="H43" s="9"/>
      <c r="I43" s="9"/>
      <c r="J43" s="15"/>
      <c r="K43" s="9"/>
      <c r="L43" s="9"/>
      <c r="M43" s="9"/>
      <c r="N43" s="9"/>
      <c r="O43" s="9"/>
      <c r="P43" s="10"/>
    </row>
    <row r="44" spans="1:16">
      <c r="A44" s="8" t="str">
        <f t="shared" si="1"/>
        <v/>
      </c>
      <c r="B44" s="9"/>
      <c r="C44" s="9"/>
      <c r="D44" s="9"/>
      <c r="E44" s="15"/>
      <c r="F44" s="9"/>
      <c r="G44" s="15"/>
      <c r="H44" s="9"/>
      <c r="I44" s="9"/>
      <c r="J44" s="15"/>
      <c r="K44" s="9"/>
      <c r="L44" s="9"/>
      <c r="M44" s="9"/>
      <c r="N44" s="9"/>
      <c r="O44" s="9"/>
      <c r="P44" s="10"/>
    </row>
    <row r="45" spans="1:16">
      <c r="A45" s="8" t="str">
        <f t="shared" si="1"/>
        <v/>
      </c>
      <c r="B45" s="9"/>
      <c r="C45" s="9"/>
      <c r="D45" s="9"/>
      <c r="E45" s="15"/>
      <c r="F45" s="9"/>
      <c r="G45" s="15"/>
      <c r="H45" s="9"/>
      <c r="I45" s="9"/>
      <c r="J45" s="15"/>
      <c r="K45" s="9"/>
      <c r="L45" s="9"/>
      <c r="M45" s="9"/>
      <c r="N45" s="9"/>
      <c r="O45" s="9"/>
      <c r="P45" s="10"/>
    </row>
    <row r="46" spans="1:16">
      <c r="A46" s="8" t="str">
        <f t="shared" si="1"/>
        <v/>
      </c>
      <c r="B46" s="9"/>
      <c r="C46" s="9"/>
      <c r="D46" s="9"/>
      <c r="E46" s="15"/>
      <c r="F46" s="9"/>
      <c r="G46" s="15"/>
      <c r="H46" s="9"/>
      <c r="I46" s="9"/>
      <c r="J46" s="15"/>
      <c r="K46" s="9"/>
      <c r="L46" s="9"/>
      <c r="M46" s="9"/>
      <c r="N46" s="9"/>
      <c r="O46" s="9"/>
      <c r="P46" s="10"/>
    </row>
    <row r="47" spans="1:16">
      <c r="A47" s="8" t="str">
        <f t="shared" si="1"/>
        <v/>
      </c>
      <c r="B47" s="9"/>
      <c r="C47" s="9"/>
      <c r="D47" s="9"/>
      <c r="E47" s="15"/>
      <c r="F47" s="9"/>
      <c r="G47" s="15"/>
      <c r="H47" s="9"/>
      <c r="I47" s="9"/>
      <c r="J47" s="15"/>
      <c r="K47" s="9"/>
      <c r="L47" s="9"/>
      <c r="M47" s="9"/>
      <c r="N47" s="9"/>
      <c r="O47" s="9"/>
      <c r="P47" s="10"/>
    </row>
    <row r="48" spans="1:16">
      <c r="A48" s="8" t="str">
        <f t="shared" si="1"/>
        <v/>
      </c>
      <c r="B48" s="9"/>
      <c r="C48" s="9"/>
      <c r="D48" s="9"/>
      <c r="E48" s="15"/>
      <c r="F48" s="9"/>
      <c r="G48" s="15"/>
      <c r="H48" s="9"/>
      <c r="I48" s="9"/>
      <c r="J48" s="15"/>
      <c r="K48" s="9"/>
      <c r="L48" s="9"/>
      <c r="M48" s="9"/>
      <c r="N48" s="9"/>
      <c r="O48" s="9"/>
      <c r="P48" s="10"/>
    </row>
    <row r="49" spans="1:16">
      <c r="A49" s="8" t="str">
        <f t="shared" si="1"/>
        <v/>
      </c>
      <c r="B49" s="9"/>
      <c r="C49" s="9"/>
      <c r="D49" s="9"/>
      <c r="E49" s="15"/>
      <c r="F49" s="9"/>
      <c r="G49" s="15"/>
      <c r="H49" s="9"/>
      <c r="I49" s="9"/>
      <c r="J49" s="15"/>
      <c r="K49" s="9"/>
      <c r="L49" s="9"/>
      <c r="M49" s="9"/>
      <c r="N49" s="9"/>
      <c r="O49" s="9"/>
      <c r="P49" s="10"/>
    </row>
    <row r="50" spans="1:16">
      <c r="A50" s="8" t="str">
        <f t="shared" si="1"/>
        <v/>
      </c>
      <c r="B50" s="9"/>
      <c r="C50" s="9"/>
      <c r="D50" s="9"/>
      <c r="E50" s="15"/>
      <c r="F50" s="9"/>
      <c r="G50" s="15"/>
      <c r="H50" s="9"/>
      <c r="I50" s="9"/>
      <c r="J50" s="15"/>
      <c r="K50" s="9"/>
      <c r="L50" s="9"/>
      <c r="M50" s="9"/>
      <c r="N50" s="9"/>
      <c r="O50" s="9"/>
      <c r="P50" s="10"/>
    </row>
    <row r="51" spans="1:16">
      <c r="A51" s="8" t="str">
        <f t="shared" si="1"/>
        <v/>
      </c>
      <c r="B51" s="9"/>
      <c r="C51" s="9"/>
      <c r="D51" s="9"/>
      <c r="E51" s="15"/>
      <c r="F51" s="9"/>
      <c r="G51" s="15"/>
      <c r="H51" s="9"/>
      <c r="I51" s="9"/>
      <c r="J51" s="15"/>
      <c r="K51" s="9"/>
      <c r="L51" s="9"/>
      <c r="M51" s="9"/>
      <c r="N51" s="9"/>
      <c r="O51" s="9"/>
      <c r="P51" s="10"/>
    </row>
    <row r="52" spans="1:16">
      <c r="A52" s="8" t="str">
        <f t="shared" si="1"/>
        <v/>
      </c>
      <c r="B52" s="9"/>
      <c r="C52" s="9"/>
      <c r="D52" s="9"/>
      <c r="E52" s="15"/>
      <c r="F52" s="9"/>
      <c r="G52" s="15"/>
      <c r="H52" s="9"/>
      <c r="I52" s="9"/>
      <c r="J52" s="15"/>
      <c r="K52" s="9"/>
      <c r="L52" s="9"/>
      <c r="M52" s="9"/>
      <c r="N52" s="9"/>
      <c r="O52" s="9"/>
      <c r="P52" s="10"/>
    </row>
    <row r="53" spans="1:16">
      <c r="A53" s="8" t="str">
        <f t="shared" si="1"/>
        <v/>
      </c>
      <c r="B53" s="9"/>
      <c r="C53" s="9"/>
      <c r="D53" s="9"/>
      <c r="E53" s="15"/>
      <c r="F53" s="9"/>
      <c r="G53" s="15"/>
      <c r="H53" s="9"/>
      <c r="I53" s="9"/>
      <c r="J53" s="15"/>
      <c r="K53" s="9"/>
      <c r="L53" s="9"/>
      <c r="M53" s="9"/>
      <c r="N53" s="9"/>
      <c r="O53" s="9"/>
      <c r="P53" s="10"/>
    </row>
    <row r="54" spans="1:16">
      <c r="A54" s="11" t="str">
        <f t="shared" si="1"/>
        <v/>
      </c>
      <c r="B54" s="12"/>
      <c r="C54" s="12"/>
      <c r="D54" s="12"/>
      <c r="E54" s="16"/>
      <c r="F54" s="12"/>
      <c r="G54" s="16"/>
      <c r="H54" s="12"/>
      <c r="I54" s="12"/>
      <c r="J54" s="16"/>
      <c r="K54" s="12"/>
      <c r="L54" s="12"/>
      <c r="M54" s="12"/>
      <c r="N54" s="12"/>
      <c r="O54" s="12"/>
      <c r="P54" s="13"/>
    </row>
  </sheetData>
  <mergeCells count="2">
    <mergeCell ref="A1:P2"/>
    <mergeCell ref="A3:P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Listas!$D$2:$D$8</xm:f>
          </x14:formula1>
          <xm:sqref>C9:C54</xm:sqref>
        </x14:dataValidation>
        <x14:dataValidation type="list" xr:uid="{00000000-0002-0000-0200-000001000000}">
          <x14:formula1>
            <xm:f>Listas!$B$2:$B$8</xm:f>
          </x14:formula1>
          <xm:sqref>F9:F54</xm:sqref>
        </x14:dataValidation>
        <x14:dataValidation type="list" xr:uid="{00000000-0002-0000-0200-000002000000}">
          <x14:formula1>
            <xm:f>Listas!$A$2:$A$5</xm:f>
          </x14:formula1>
          <xm:sqref>K9:K54 H9:I54 N9:O54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4"/>
  <sheetViews>
    <sheetView topLeftCell="H1" workbookViewId="0">
      <selection activeCell="H5" sqref="H5"/>
    </sheetView>
  </sheetViews>
  <sheetFormatPr baseColWidth="10" defaultColWidth="8.6640625" defaultRowHeight="14"/>
  <cols>
    <col min="1" max="1" width="12" customWidth="1"/>
    <col min="2" max="2" width="29" customWidth="1"/>
    <col min="3" max="3" width="23" customWidth="1"/>
    <col min="4" max="4" width="19" customWidth="1"/>
    <col min="5" max="5" width="12" customWidth="1"/>
    <col min="6" max="6" width="31" customWidth="1"/>
    <col min="7" max="8" width="24" customWidth="1"/>
    <col min="9" max="16" width="18" customWidth="1"/>
    <col min="17" max="17" width="15" customWidth="1"/>
    <col min="18" max="18" width="35" customWidth="1"/>
  </cols>
  <sheetData>
    <row r="1" spans="1:18" ht="20" customHeight="1">
      <c r="A1" s="94" t="s">
        <v>124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1:18" ht="29.4" customHeight="1">
      <c r="A3" s="98" t="s">
        <v>125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</row>
    <row r="4" spans="1:18" ht="28">
      <c r="A4" s="1" t="s">
        <v>109</v>
      </c>
      <c r="B4" s="2" t="s">
        <v>126</v>
      </c>
      <c r="C4" s="2" t="s">
        <v>127</v>
      </c>
      <c r="D4" s="2" t="s">
        <v>128</v>
      </c>
      <c r="E4" s="2" t="s">
        <v>129</v>
      </c>
      <c r="F4" s="2" t="s">
        <v>130</v>
      </c>
      <c r="G4" s="2" t="s">
        <v>131</v>
      </c>
      <c r="H4" s="2" t="s">
        <v>132</v>
      </c>
      <c r="I4" s="2" t="s">
        <v>133</v>
      </c>
      <c r="J4" s="2" t="s">
        <v>134</v>
      </c>
      <c r="K4" s="2" t="s">
        <v>135</v>
      </c>
      <c r="L4" s="2" t="s">
        <v>136</v>
      </c>
      <c r="M4" s="2" t="s">
        <v>137</v>
      </c>
      <c r="N4" s="2" t="s">
        <v>138</v>
      </c>
      <c r="O4" s="2" t="s">
        <v>139</v>
      </c>
      <c r="P4" s="2" t="s">
        <v>140</v>
      </c>
      <c r="Q4" s="2" t="s">
        <v>141</v>
      </c>
      <c r="R4" s="3" t="s">
        <v>123</v>
      </c>
    </row>
    <row r="5" spans="1:18" ht="70">
      <c r="A5" s="63" t="str">
        <f t="shared" ref="A5:A34" si="0">IF(B5="","","EMP-"&amp;TEXT(ROW()-4,"000"))</f>
        <v>EMP-001</v>
      </c>
      <c r="B5" s="59" t="s">
        <v>687</v>
      </c>
      <c r="C5" s="59" t="s">
        <v>693</v>
      </c>
      <c r="D5" s="65" t="s">
        <v>10</v>
      </c>
      <c r="E5" s="66">
        <v>41425</v>
      </c>
      <c r="F5" s="65" t="s">
        <v>691</v>
      </c>
      <c r="G5" s="65" t="s">
        <v>372</v>
      </c>
      <c r="H5" s="65" t="s">
        <v>676</v>
      </c>
      <c r="I5" s="65" t="s">
        <v>15</v>
      </c>
      <c r="J5" s="65" t="s">
        <v>15</v>
      </c>
      <c r="K5" s="65" t="s">
        <v>8</v>
      </c>
      <c r="L5" s="65" t="s">
        <v>8</v>
      </c>
      <c r="M5" s="59" t="s">
        <v>692</v>
      </c>
      <c r="N5" s="65" t="s">
        <v>15</v>
      </c>
      <c r="O5" s="65" t="s">
        <v>15</v>
      </c>
      <c r="P5" s="65" t="s">
        <v>15</v>
      </c>
      <c r="Q5" s="59" t="s">
        <v>21</v>
      </c>
      <c r="R5" s="59" t="s">
        <v>694</v>
      </c>
    </row>
    <row r="6" spans="1:18" ht="84" customHeight="1">
      <c r="A6" s="63" t="str">
        <f t="shared" si="0"/>
        <v>EMP-002</v>
      </c>
      <c r="B6" s="59" t="s">
        <v>688</v>
      </c>
      <c r="C6" s="59" t="s">
        <v>689</v>
      </c>
      <c r="D6" s="65" t="s">
        <v>10</v>
      </c>
      <c r="E6" s="66">
        <v>38511</v>
      </c>
      <c r="F6" s="65" t="s">
        <v>691</v>
      </c>
      <c r="G6" s="65" t="s">
        <v>690</v>
      </c>
      <c r="H6" s="65" t="s">
        <v>676</v>
      </c>
      <c r="I6" s="65" t="s">
        <v>696</v>
      </c>
      <c r="J6" s="65" t="s">
        <v>15</v>
      </c>
      <c r="K6" s="65" t="s">
        <v>8</v>
      </c>
      <c r="L6" s="65" t="s">
        <v>15</v>
      </c>
      <c r="M6" s="59" t="s">
        <v>697</v>
      </c>
      <c r="N6" s="65" t="s">
        <v>15</v>
      </c>
      <c r="O6" s="65" t="s">
        <v>15</v>
      </c>
      <c r="P6" s="65" t="s">
        <v>15</v>
      </c>
      <c r="Q6" s="59" t="s">
        <v>14</v>
      </c>
      <c r="R6" s="59" t="s">
        <v>698</v>
      </c>
    </row>
    <row r="7" spans="1:18">
      <c r="A7" s="8" t="str">
        <f t="shared" si="0"/>
        <v/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>
      <c r="A8" s="8" t="str">
        <f t="shared" si="0"/>
        <v/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>
      <c r="A9" s="8" t="str">
        <f t="shared" si="0"/>
        <v/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>
      <c r="A10" s="8" t="str">
        <f t="shared" si="0"/>
        <v/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>
      <c r="A11" s="8" t="str">
        <f t="shared" si="0"/>
        <v/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>
      <c r="A12" s="8" t="str">
        <f t="shared" si="0"/>
        <v/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>
      <c r="A13" s="8" t="str">
        <f t="shared" si="0"/>
        <v/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>
      <c r="A14" s="8" t="str">
        <f t="shared" si="0"/>
        <v/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>
      <c r="A15" s="8" t="str">
        <f t="shared" si="0"/>
        <v/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>
      <c r="A16" s="8" t="str">
        <f t="shared" si="0"/>
        <v/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>
      <c r="A17" s="8" t="str">
        <f t="shared" si="0"/>
        <v/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>
      <c r="A18" s="8" t="str">
        <f t="shared" si="0"/>
        <v/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>
      <c r="A19" s="8" t="str">
        <f t="shared" si="0"/>
        <v/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>
      <c r="A20" s="8" t="str">
        <f t="shared" si="0"/>
        <v/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>
      <c r="A21" s="8" t="str">
        <f t="shared" si="0"/>
        <v/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>
      <c r="A22" s="8" t="str">
        <f t="shared" si="0"/>
        <v/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>
      <c r="A23" s="8" t="str">
        <f t="shared" si="0"/>
        <v/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>
      <c r="A24" s="8" t="str">
        <f t="shared" si="0"/>
        <v/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>
      <c r="A25" s="8" t="str">
        <f t="shared" si="0"/>
        <v/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>
      <c r="A26" s="8" t="str">
        <f t="shared" si="0"/>
        <v/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spans="1:18">
      <c r="A27" s="8" t="str">
        <f t="shared" si="0"/>
        <v/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spans="1:18">
      <c r="A28" s="8" t="str">
        <f t="shared" si="0"/>
        <v/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>
      <c r="A29" s="8" t="str">
        <f t="shared" si="0"/>
        <v/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>
      <c r="A30" s="8" t="str">
        <f t="shared" si="0"/>
        <v/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>
      <c r="A31" s="8" t="str">
        <f t="shared" si="0"/>
        <v/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>
      <c r="A32" s="8" t="str">
        <f t="shared" si="0"/>
        <v/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>
      <c r="A33" s="8" t="str">
        <f t="shared" si="0"/>
        <v/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>
      <c r="A34" s="11" t="str">
        <f t="shared" si="0"/>
        <v/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3"/>
    </row>
  </sheetData>
  <mergeCells count="2">
    <mergeCell ref="A1:R2"/>
    <mergeCell ref="A3:R3"/>
  </mergeCells>
  <conditionalFormatting sqref="Q5:Q6">
    <cfRule type="expression" dxfId="22" priority="1">
      <formula>Q5="Crítico"</formula>
    </cfRule>
    <cfRule type="expression" dxfId="21" priority="2">
      <formula>Q5="Alto"</formula>
    </cfRule>
    <cfRule type="expression" dxfId="20" priority="3">
      <formula>Q5="Medio"</formula>
    </cfRule>
    <cfRule type="expression" dxfId="19" priority="4">
      <formula>Q5="Bajo"</formula>
    </cfRule>
  </conditionalFormatting>
  <conditionalFormatting sqref="Q7:Q34">
    <cfRule type="expression" dxfId="18" priority="5">
      <formula>Q7="Crítico"</formula>
    </cfRule>
    <cfRule type="expression" dxfId="17" priority="6">
      <formula>Q7="Alto"</formula>
    </cfRule>
    <cfRule type="expression" dxfId="16" priority="7">
      <formula>Q7="Medio"</formula>
    </cfRule>
    <cfRule type="expression" dxfId="15" priority="8">
      <formula>Q7="Bajo"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Listas!$C$2:$C$8</xm:f>
          </x14:formula1>
          <xm:sqref>D7:D34</xm:sqref>
        </x14:dataValidation>
        <x14:dataValidation type="list" xr:uid="{00000000-0002-0000-0300-000001000000}">
          <x14:formula1>
            <xm:f>Listas!$A$2:$A$5</xm:f>
          </x14:formula1>
          <xm:sqref>I7:P34</xm:sqref>
        </x14:dataValidation>
        <x14:dataValidation type="list" xr:uid="{00000000-0002-0000-0300-000009000000}">
          <x14:formula1>
            <xm:f>Listas!$G$2:$G$5</xm:f>
          </x14:formula1>
          <xm:sqref>Q7:Q34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4"/>
  <sheetViews>
    <sheetView topLeftCell="L4" workbookViewId="0">
      <selection activeCell="P6" sqref="P6"/>
    </sheetView>
  </sheetViews>
  <sheetFormatPr baseColWidth="10" defaultColWidth="8.6640625" defaultRowHeight="14"/>
  <cols>
    <col min="1" max="1" width="12" customWidth="1"/>
    <col min="2" max="3" width="24" customWidth="1"/>
    <col min="4" max="4" width="16.08203125" customWidth="1"/>
    <col min="5" max="5" width="16.25" customWidth="1"/>
    <col min="6" max="6" width="12.5" customWidth="1"/>
    <col min="7" max="7" width="10.4140625" customWidth="1"/>
    <col min="8" max="8" width="15.58203125" customWidth="1"/>
    <col min="9" max="9" width="18" customWidth="1"/>
    <col min="10" max="10" width="25" customWidth="1"/>
    <col min="11" max="11" width="21" customWidth="1"/>
    <col min="12" max="12" width="18.6640625" customWidth="1"/>
    <col min="13" max="13" width="20" customWidth="1"/>
    <col min="14" max="14" width="18.25" customWidth="1"/>
    <col min="15" max="15" width="20" customWidth="1"/>
    <col min="16" max="16" width="19" customWidth="1"/>
    <col min="17" max="17" width="35" customWidth="1"/>
    <col min="19" max="19" width="9.75" bestFit="1" customWidth="1"/>
  </cols>
  <sheetData>
    <row r="1" spans="1:19" ht="20" customHeight="1">
      <c r="A1" s="94" t="s">
        <v>142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9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3" spans="1:19" ht="29.4" customHeight="1">
      <c r="A3" s="98" t="s">
        <v>143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9" ht="28">
      <c r="A4" s="1" t="s">
        <v>109</v>
      </c>
      <c r="B4" s="2" t="s">
        <v>144</v>
      </c>
      <c r="C4" s="2" t="s">
        <v>145</v>
      </c>
      <c r="D4" s="2" t="s">
        <v>146</v>
      </c>
      <c r="E4" s="2" t="s">
        <v>147</v>
      </c>
      <c r="F4" s="2" t="s">
        <v>148</v>
      </c>
      <c r="G4" s="2" t="s">
        <v>149</v>
      </c>
      <c r="H4" s="2" t="s">
        <v>150</v>
      </c>
      <c r="I4" s="2" t="s">
        <v>151</v>
      </c>
      <c r="J4" s="2" t="s">
        <v>152</v>
      </c>
      <c r="K4" s="2" t="s">
        <v>153</v>
      </c>
      <c r="L4" s="2" t="s">
        <v>154</v>
      </c>
      <c r="M4" s="2" t="s">
        <v>155</v>
      </c>
      <c r="N4" s="2" t="s">
        <v>156</v>
      </c>
      <c r="O4" s="2" t="s">
        <v>157</v>
      </c>
      <c r="P4" s="2" t="s">
        <v>158</v>
      </c>
      <c r="Q4" s="3" t="s">
        <v>123</v>
      </c>
    </row>
    <row r="5" spans="1:19" ht="28">
      <c r="A5" s="63" t="str">
        <f t="shared" ref="A5:A36" si="0">IF(B5="","","ACC-"&amp;TEXT(ROW()-4,"000"))</f>
        <v>ACC-001</v>
      </c>
      <c r="B5" s="63" t="s">
        <v>687</v>
      </c>
      <c r="C5" s="63" t="str">
        <f>+FamiliaTable[[#This Row],[Nombre completo]]</f>
        <v>Nassif Abuita Nassar</v>
      </c>
      <c r="D5" s="64" t="s">
        <v>11</v>
      </c>
      <c r="E5" s="63">
        <v>6120</v>
      </c>
      <c r="F5" s="68">
        <v>0.34</v>
      </c>
      <c r="G5" s="63">
        <v>2013</v>
      </c>
      <c r="H5" s="63" t="s">
        <v>12</v>
      </c>
      <c r="I5" s="71">
        <f>+AccionistasTable[[#This Row],[Número de acciones/cuotas]]*10000</f>
        <v>61200000</v>
      </c>
      <c r="J5" s="63" t="str">
        <f>+AccionistasTable[[#This Row],[Accionista]]</f>
        <v>Nassif Abuita Nassar</v>
      </c>
      <c r="K5" s="63" t="s">
        <v>40</v>
      </c>
      <c r="L5" s="64" t="s">
        <v>8</v>
      </c>
      <c r="M5" s="64" t="s">
        <v>15</v>
      </c>
      <c r="N5" s="64" t="s">
        <v>15</v>
      </c>
      <c r="O5" s="64" t="s">
        <v>29</v>
      </c>
      <c r="P5" s="71">
        <f>+$S$9*AccionistasTable[[#This Row],[Porcentaje]]</f>
        <v>218968404.5212</v>
      </c>
      <c r="Q5" s="7"/>
    </row>
    <row r="6" spans="1:19" ht="28">
      <c r="A6" s="63" t="str">
        <f t="shared" si="0"/>
        <v>ACC-002</v>
      </c>
      <c r="B6" s="63" t="s">
        <v>687</v>
      </c>
      <c r="C6" s="63" t="str">
        <f>+FamiliaTable[[#This Row],[Nombre completo]]</f>
        <v>Gloria Maria Correa Rivera</v>
      </c>
      <c r="D6" s="64" t="s">
        <v>11</v>
      </c>
      <c r="E6" s="63">
        <v>6480</v>
      </c>
      <c r="F6" s="68">
        <v>0.36</v>
      </c>
      <c r="G6" s="63">
        <v>2013</v>
      </c>
      <c r="H6" s="63" t="s">
        <v>12</v>
      </c>
      <c r="I6" s="71">
        <f>+AccionistasTable[[#This Row],[Número de acciones/cuotas]]*10000</f>
        <v>64800000</v>
      </c>
      <c r="J6" s="63" t="str">
        <f>+AccionistasTable[[#This Row],[Accionista]]</f>
        <v>Gloria Maria Correa Rivera</v>
      </c>
      <c r="K6" s="63" t="s">
        <v>40</v>
      </c>
      <c r="L6" s="64" t="s">
        <v>8</v>
      </c>
      <c r="M6" s="64" t="s">
        <v>15</v>
      </c>
      <c r="N6" s="64" t="s">
        <v>15</v>
      </c>
      <c r="O6" s="64" t="s">
        <v>29</v>
      </c>
      <c r="P6" s="71">
        <f>+$S$9*AccionistasTable[[#This Row],[Porcentaje]]</f>
        <v>231848898.90479997</v>
      </c>
      <c r="Q6" s="10"/>
    </row>
    <row r="7" spans="1:19" ht="28">
      <c r="A7" s="63" t="str">
        <f t="shared" si="0"/>
        <v>ACC-003</v>
      </c>
      <c r="B7" s="63" t="s">
        <v>687</v>
      </c>
      <c r="C7" s="63" t="str">
        <f>+FamiliaTable[[#This Row],[Nombre completo]]</f>
        <v>Said  Latif Abuita Correa</v>
      </c>
      <c r="D7" s="64" t="s">
        <v>18</v>
      </c>
      <c r="E7" s="63">
        <v>2700</v>
      </c>
      <c r="F7" s="68">
        <v>0.15</v>
      </c>
      <c r="G7" s="63">
        <v>2013</v>
      </c>
      <c r="H7" s="63" t="s">
        <v>12</v>
      </c>
      <c r="I7" s="71">
        <f>+AccionistasTable[[#This Row],[Número de acciones/cuotas]]*10000</f>
        <v>27000000</v>
      </c>
      <c r="J7" s="63" t="str">
        <f>+AccionistasTable[[#This Row],[Accionista]]</f>
        <v>Said  Latif Abuita Correa</v>
      </c>
      <c r="K7" s="63" t="s">
        <v>9</v>
      </c>
      <c r="L7" s="64" t="s">
        <v>15</v>
      </c>
      <c r="M7" s="64" t="s">
        <v>15</v>
      </c>
      <c r="N7" s="64" t="s">
        <v>15</v>
      </c>
      <c r="O7" s="64" t="s">
        <v>29</v>
      </c>
      <c r="P7" s="71">
        <f>+$S$9*AccionistasTable[[#This Row],[Porcentaje]]</f>
        <v>96603707.876999989</v>
      </c>
      <c r="Q7" s="10"/>
    </row>
    <row r="8" spans="1:19" ht="28">
      <c r="A8" s="63" t="str">
        <f t="shared" si="0"/>
        <v>ACC-004</v>
      </c>
      <c r="B8" s="63" t="s">
        <v>687</v>
      </c>
      <c r="C8" s="63" t="str">
        <f>+FamiliaTable[[#This Row],[Nombre completo]]</f>
        <v>Karam Nassif Abuita Correa</v>
      </c>
      <c r="D8" s="64" t="s">
        <v>18</v>
      </c>
      <c r="E8" s="63">
        <v>2700</v>
      </c>
      <c r="F8" s="68">
        <v>0.15</v>
      </c>
      <c r="G8" s="63">
        <v>2013</v>
      </c>
      <c r="H8" s="63" t="s">
        <v>12</v>
      </c>
      <c r="I8" s="71">
        <f>+AccionistasTable[[#This Row],[Número de acciones/cuotas]]*10000</f>
        <v>27000000</v>
      </c>
      <c r="J8" s="63" t="str">
        <f>+AccionistasTable[[#This Row],[Accionista]]</f>
        <v>Karam Nassif Abuita Correa</v>
      </c>
      <c r="K8" s="63" t="s">
        <v>9</v>
      </c>
      <c r="L8" s="64" t="s">
        <v>15</v>
      </c>
      <c r="M8" s="64" t="s">
        <v>15</v>
      </c>
      <c r="N8" s="64" t="s">
        <v>15</v>
      </c>
      <c r="O8" s="64" t="s">
        <v>29</v>
      </c>
      <c r="P8" s="71">
        <f>+$S$9*AccionistasTable[[#This Row],[Porcentaje]]</f>
        <v>96603707.876999989</v>
      </c>
      <c r="Q8" s="10"/>
    </row>
    <row r="9" spans="1:19" ht="34" customHeight="1">
      <c r="A9" s="63" t="str">
        <f t="shared" si="0"/>
        <v>ACC-005</v>
      </c>
      <c r="B9" s="63" t="s">
        <v>688</v>
      </c>
      <c r="C9" s="63" t="s">
        <v>681</v>
      </c>
      <c r="D9" s="64" t="s">
        <v>11</v>
      </c>
      <c r="E9" s="69">
        <v>34020</v>
      </c>
      <c r="F9" s="68">
        <v>0.21</v>
      </c>
      <c r="G9" s="63">
        <v>2005</v>
      </c>
      <c r="H9" s="63" t="s">
        <v>12</v>
      </c>
      <c r="I9" s="71">
        <f>+AccionistasTable[[#This Row],[Número de acciones/cuotas]]*1000</f>
        <v>34020000</v>
      </c>
      <c r="J9" s="63" t="str">
        <f>+AccionistasTable[[#This Row],[Accionista]]</f>
        <v>Gloria Maria Correa Rivera</v>
      </c>
      <c r="K9" s="63" t="s">
        <v>40</v>
      </c>
      <c r="L9" s="64" t="s">
        <v>8</v>
      </c>
      <c r="M9" s="64" t="s">
        <v>15</v>
      </c>
      <c r="N9" s="64" t="s">
        <v>15</v>
      </c>
      <c r="O9" s="64" t="s">
        <v>29</v>
      </c>
      <c r="P9" s="64"/>
      <c r="Q9" s="10"/>
      <c r="S9" s="72">
        <f>644024719.18</f>
        <v>644024719.17999995</v>
      </c>
    </row>
    <row r="10" spans="1:19" ht="30" customHeight="1">
      <c r="A10" s="63" t="str">
        <f t="shared" si="0"/>
        <v>ACC-006</v>
      </c>
      <c r="B10" s="63" t="s">
        <v>688</v>
      </c>
      <c r="C10" s="70" t="s">
        <v>676</v>
      </c>
      <c r="D10" s="64" t="s">
        <v>11</v>
      </c>
      <c r="E10" s="69">
        <v>30780</v>
      </c>
      <c r="F10" s="68">
        <v>0.19</v>
      </c>
      <c r="G10" s="63">
        <v>2005</v>
      </c>
      <c r="H10" s="63" t="s">
        <v>43</v>
      </c>
      <c r="I10" s="71">
        <f>+AccionistasTable[[#This Row],[Número de acciones/cuotas]]*1000</f>
        <v>30780000</v>
      </c>
      <c r="J10" s="63" t="s">
        <v>681</v>
      </c>
      <c r="K10" s="63" t="s">
        <v>40</v>
      </c>
      <c r="L10" s="64" t="s">
        <v>8</v>
      </c>
      <c r="M10" s="64" t="s">
        <v>15</v>
      </c>
      <c r="N10" s="64" t="s">
        <v>15</v>
      </c>
      <c r="O10" s="64" t="s">
        <v>29</v>
      </c>
      <c r="P10" s="64"/>
      <c r="Q10" s="10"/>
    </row>
    <row r="11" spans="1:19" ht="27.5" customHeight="1">
      <c r="A11" s="63" t="str">
        <f t="shared" si="0"/>
        <v>ACC-007</v>
      </c>
      <c r="B11" s="63" t="s">
        <v>688</v>
      </c>
      <c r="C11" s="63" t="s">
        <v>695</v>
      </c>
      <c r="D11" s="64" t="s">
        <v>18</v>
      </c>
      <c r="E11" s="69">
        <v>8100</v>
      </c>
      <c r="F11" s="68">
        <v>0.05</v>
      </c>
      <c r="G11" s="63">
        <v>2016</v>
      </c>
      <c r="H11" s="63" t="s">
        <v>43</v>
      </c>
      <c r="I11" s="71">
        <f>+AccionistasTable[[#This Row],[Número de acciones/cuotas]]*1000</f>
        <v>8100000</v>
      </c>
      <c r="J11" s="63" t="str">
        <f>+J9</f>
        <v>Gloria Maria Correa Rivera</v>
      </c>
      <c r="K11" s="63" t="s">
        <v>9</v>
      </c>
      <c r="L11" s="64" t="s">
        <v>15</v>
      </c>
      <c r="M11" s="64" t="s">
        <v>15</v>
      </c>
      <c r="N11" s="64" t="s">
        <v>15</v>
      </c>
      <c r="O11" s="64" t="s">
        <v>29</v>
      </c>
      <c r="P11" s="64"/>
      <c r="Q11" s="10"/>
    </row>
    <row r="12" spans="1:19" ht="38.5" customHeight="1">
      <c r="A12" s="63" t="str">
        <f t="shared" si="0"/>
        <v>ACC-008</v>
      </c>
      <c r="B12" s="63" t="s">
        <v>688</v>
      </c>
      <c r="C12" s="70" t="s">
        <v>685</v>
      </c>
      <c r="D12" s="64" t="s">
        <v>18</v>
      </c>
      <c r="E12" s="69">
        <v>8100</v>
      </c>
      <c r="F12" s="68">
        <v>0.05</v>
      </c>
      <c r="G12" s="63">
        <v>2016</v>
      </c>
      <c r="H12" s="63" t="s">
        <v>43</v>
      </c>
      <c r="I12" s="71">
        <f>+AccionistasTable[[#This Row],[Número de acciones/cuotas]]*1000</f>
        <v>8100000</v>
      </c>
      <c r="J12" s="63" t="s">
        <v>681</v>
      </c>
      <c r="K12" s="63" t="s">
        <v>9</v>
      </c>
      <c r="L12" s="64" t="s">
        <v>15</v>
      </c>
      <c r="M12" s="64" t="s">
        <v>15</v>
      </c>
      <c r="N12" s="64" t="s">
        <v>15</v>
      </c>
      <c r="O12" s="64" t="s">
        <v>29</v>
      </c>
      <c r="P12" s="64"/>
      <c r="Q12" s="10"/>
    </row>
    <row r="13" spans="1:19">
      <c r="A13" s="8" t="str">
        <f t="shared" si="0"/>
        <v>ACC-009</v>
      </c>
      <c r="B13" s="9">
        <f>+EmpresasTable[[#This Row],[Razón social]]</f>
        <v>0</v>
      </c>
      <c r="C13" s="9">
        <f>+FamiliaTable[[#This Row],[Nombre completo]]</f>
        <v>0</v>
      </c>
      <c r="D13" s="9"/>
      <c r="E13" s="9"/>
      <c r="F13" s="17"/>
      <c r="G13" s="9"/>
      <c r="H13" s="9"/>
      <c r="I13" s="19">
        <f>+AccionistasTable[[#This Row],[Número de acciones/cuotas]]*10000</f>
        <v>0</v>
      </c>
      <c r="J13" s="9">
        <f>+AccionistasTable[[#This Row],[Accionista]]</f>
        <v>0</v>
      </c>
      <c r="K13" s="9"/>
      <c r="L13" s="9"/>
      <c r="M13" s="9"/>
      <c r="N13" s="9"/>
      <c r="O13" s="9"/>
      <c r="P13" s="19">
        <f>+$S$9*AccionistasTable[[#This Row],[Porcentaje]]</f>
        <v>0</v>
      </c>
      <c r="Q13" s="10"/>
    </row>
    <row r="14" spans="1:19">
      <c r="A14" s="8" t="str">
        <f t="shared" si="0"/>
        <v>ACC-010</v>
      </c>
      <c r="B14" s="9">
        <f>+EmpresasTable[[#This Row],[Razón social]]</f>
        <v>0</v>
      </c>
      <c r="C14" s="9">
        <f>+FamiliaTable[[#This Row],[Nombre completo]]</f>
        <v>0</v>
      </c>
      <c r="D14" s="9"/>
      <c r="E14" s="9"/>
      <c r="F14" s="17"/>
      <c r="G14" s="9"/>
      <c r="H14" s="9"/>
      <c r="I14" s="19">
        <f>+AccionistasTable[[#This Row],[Número de acciones/cuotas]]*10000</f>
        <v>0</v>
      </c>
      <c r="J14" s="9">
        <f>+AccionistasTable[[#This Row],[Accionista]]</f>
        <v>0</v>
      </c>
      <c r="K14" s="9"/>
      <c r="L14" s="9"/>
      <c r="M14" s="9"/>
      <c r="N14" s="9"/>
      <c r="O14" s="9"/>
      <c r="P14" s="19">
        <f>+$S$9*AccionistasTable[[#This Row],[Porcentaje]]</f>
        <v>0</v>
      </c>
      <c r="Q14" s="10"/>
    </row>
    <row r="15" spans="1:19">
      <c r="A15" s="8" t="str">
        <f t="shared" si="0"/>
        <v>ACC-011</v>
      </c>
      <c r="B15" s="9">
        <f>+EmpresasTable[[#This Row],[Razón social]]</f>
        <v>0</v>
      </c>
      <c r="C15" s="9">
        <f>+FamiliaTable[[#This Row],[Nombre completo]]</f>
        <v>0</v>
      </c>
      <c r="D15" s="9"/>
      <c r="E15" s="9"/>
      <c r="F15" s="17"/>
      <c r="G15" s="9"/>
      <c r="H15" s="9"/>
      <c r="I15" s="19">
        <f>+AccionistasTable[[#This Row],[Número de acciones/cuotas]]*10000</f>
        <v>0</v>
      </c>
      <c r="J15" s="9">
        <f>+AccionistasTable[[#This Row],[Accionista]]</f>
        <v>0</v>
      </c>
      <c r="K15" s="9"/>
      <c r="L15" s="9"/>
      <c r="M15" s="9"/>
      <c r="N15" s="9"/>
      <c r="O15" s="9"/>
      <c r="P15" s="19">
        <f>+$S$9*AccionistasTable[[#This Row],[Porcentaje]]</f>
        <v>0</v>
      </c>
      <c r="Q15" s="10"/>
    </row>
    <row r="16" spans="1:19">
      <c r="A16" s="8" t="str">
        <f t="shared" si="0"/>
        <v>ACC-012</v>
      </c>
      <c r="B16" s="9">
        <f>+EmpresasTable[[#This Row],[Razón social]]</f>
        <v>0</v>
      </c>
      <c r="C16" s="9">
        <f>+FamiliaTable[[#This Row],[Nombre completo]]</f>
        <v>0</v>
      </c>
      <c r="D16" s="9"/>
      <c r="E16" s="9"/>
      <c r="F16" s="17"/>
      <c r="G16" s="9"/>
      <c r="H16" s="9"/>
      <c r="I16" s="19">
        <f>+AccionistasTable[[#This Row],[Número de acciones/cuotas]]*10000</f>
        <v>0</v>
      </c>
      <c r="J16" s="9">
        <f>+AccionistasTable[[#This Row],[Accionista]]</f>
        <v>0</v>
      </c>
      <c r="K16" s="9"/>
      <c r="L16" s="9"/>
      <c r="M16" s="9"/>
      <c r="N16" s="9"/>
      <c r="O16" s="9"/>
      <c r="P16" s="19">
        <f>+$S$9*AccionistasTable[[#This Row],[Porcentaje]]</f>
        <v>0</v>
      </c>
      <c r="Q16" s="10"/>
    </row>
    <row r="17" spans="1:17">
      <c r="A17" s="8" t="str">
        <f t="shared" si="0"/>
        <v>ACC-013</v>
      </c>
      <c r="B17" s="9">
        <f>+EmpresasTable[[#This Row],[Razón social]]</f>
        <v>0</v>
      </c>
      <c r="C17" s="9">
        <f>+FamiliaTable[[#This Row],[Nombre completo]]</f>
        <v>0</v>
      </c>
      <c r="D17" s="9"/>
      <c r="E17" s="9"/>
      <c r="F17" s="17"/>
      <c r="G17" s="9"/>
      <c r="H17" s="9"/>
      <c r="I17" s="19">
        <f>+AccionistasTable[[#This Row],[Número de acciones/cuotas]]*10000</f>
        <v>0</v>
      </c>
      <c r="J17" s="9">
        <f>+AccionistasTable[[#This Row],[Accionista]]</f>
        <v>0</v>
      </c>
      <c r="K17" s="9"/>
      <c r="L17" s="9"/>
      <c r="M17" s="9"/>
      <c r="N17" s="9"/>
      <c r="O17" s="9"/>
      <c r="P17" s="19">
        <f>+$S$9*AccionistasTable[[#This Row],[Porcentaje]]</f>
        <v>0</v>
      </c>
      <c r="Q17" s="10"/>
    </row>
    <row r="18" spans="1:17">
      <c r="A18" s="8" t="str">
        <f t="shared" si="0"/>
        <v>ACC-014</v>
      </c>
      <c r="B18" s="9">
        <f>+EmpresasTable[[#This Row],[Razón social]]</f>
        <v>0</v>
      </c>
      <c r="C18" s="9">
        <f>+FamiliaTable[[#This Row],[Nombre completo]]</f>
        <v>0</v>
      </c>
      <c r="D18" s="9"/>
      <c r="E18" s="9"/>
      <c r="F18" s="17"/>
      <c r="G18" s="9"/>
      <c r="H18" s="9"/>
      <c r="I18" s="19">
        <f>+AccionistasTable[[#This Row],[Número de acciones/cuotas]]*10000</f>
        <v>0</v>
      </c>
      <c r="J18" s="9">
        <f>+AccionistasTable[[#This Row],[Accionista]]</f>
        <v>0</v>
      </c>
      <c r="K18" s="9"/>
      <c r="L18" s="9"/>
      <c r="M18" s="9"/>
      <c r="N18" s="9"/>
      <c r="O18" s="9"/>
      <c r="P18" s="19">
        <f>+$S$9*AccionistasTable[[#This Row],[Porcentaje]]</f>
        <v>0</v>
      </c>
      <c r="Q18" s="10"/>
    </row>
    <row r="19" spans="1:17">
      <c r="A19" s="8" t="str">
        <f t="shared" si="0"/>
        <v>ACC-015</v>
      </c>
      <c r="B19" s="9">
        <f>+EmpresasTable[[#This Row],[Razón social]]</f>
        <v>0</v>
      </c>
      <c r="C19" s="9">
        <f>+FamiliaTable[[#This Row],[Nombre completo]]</f>
        <v>0</v>
      </c>
      <c r="D19" s="9"/>
      <c r="E19" s="9"/>
      <c r="F19" s="17"/>
      <c r="G19" s="9"/>
      <c r="H19" s="9"/>
      <c r="I19" s="19">
        <f>+AccionistasTable[[#This Row],[Número de acciones/cuotas]]*10000</f>
        <v>0</v>
      </c>
      <c r="J19" s="9">
        <f>+AccionistasTable[[#This Row],[Accionista]]</f>
        <v>0</v>
      </c>
      <c r="K19" s="9"/>
      <c r="L19" s="9"/>
      <c r="M19" s="9"/>
      <c r="N19" s="9"/>
      <c r="O19" s="9"/>
      <c r="P19" s="19">
        <f>+$S$9*AccionistasTable[[#This Row],[Porcentaje]]</f>
        <v>0</v>
      </c>
      <c r="Q19" s="10"/>
    </row>
    <row r="20" spans="1:17">
      <c r="A20" s="8" t="str">
        <f t="shared" si="0"/>
        <v>ACC-016</v>
      </c>
      <c r="B20" s="9">
        <f>+EmpresasTable[[#This Row],[Razón social]]</f>
        <v>0</v>
      </c>
      <c r="C20" s="9">
        <f>+FamiliaTable[[#This Row],[Nombre completo]]</f>
        <v>0</v>
      </c>
      <c r="D20" s="9"/>
      <c r="E20" s="9"/>
      <c r="F20" s="17"/>
      <c r="G20" s="9"/>
      <c r="H20" s="9"/>
      <c r="I20" s="19">
        <f>+AccionistasTable[[#This Row],[Número de acciones/cuotas]]*10000</f>
        <v>0</v>
      </c>
      <c r="J20" s="9">
        <f>+AccionistasTable[[#This Row],[Accionista]]</f>
        <v>0</v>
      </c>
      <c r="K20" s="9"/>
      <c r="L20" s="9"/>
      <c r="M20" s="9"/>
      <c r="N20" s="9"/>
      <c r="O20" s="9"/>
      <c r="P20" s="19">
        <f>+$S$9*AccionistasTable[[#This Row],[Porcentaje]]</f>
        <v>0</v>
      </c>
      <c r="Q20" s="10"/>
    </row>
    <row r="21" spans="1:17">
      <c r="A21" s="8" t="str">
        <f t="shared" si="0"/>
        <v>ACC-017</v>
      </c>
      <c r="B21" s="9">
        <f>+EmpresasTable[[#This Row],[Razón social]]</f>
        <v>0</v>
      </c>
      <c r="C21" s="9">
        <f>+FamiliaTable[[#This Row],[Nombre completo]]</f>
        <v>0</v>
      </c>
      <c r="D21" s="9"/>
      <c r="E21" s="9"/>
      <c r="F21" s="17"/>
      <c r="G21" s="9"/>
      <c r="H21" s="9"/>
      <c r="I21" s="19">
        <f>+AccionistasTable[[#This Row],[Número de acciones/cuotas]]*10000</f>
        <v>0</v>
      </c>
      <c r="J21" s="9">
        <f>+AccionistasTable[[#This Row],[Accionista]]</f>
        <v>0</v>
      </c>
      <c r="K21" s="9"/>
      <c r="L21" s="9"/>
      <c r="M21" s="9"/>
      <c r="N21" s="9"/>
      <c r="O21" s="9"/>
      <c r="P21" s="19">
        <f>+$S$9*AccionistasTable[[#This Row],[Porcentaje]]</f>
        <v>0</v>
      </c>
      <c r="Q21" s="10"/>
    </row>
    <row r="22" spans="1:17">
      <c r="A22" s="8" t="str">
        <f t="shared" si="0"/>
        <v>ACC-018</v>
      </c>
      <c r="B22" s="9">
        <f>+EmpresasTable[[#This Row],[Razón social]]</f>
        <v>0</v>
      </c>
      <c r="C22" s="9">
        <f>+FamiliaTable[[#This Row],[Nombre completo]]</f>
        <v>0</v>
      </c>
      <c r="D22" s="9"/>
      <c r="E22" s="9"/>
      <c r="F22" s="17"/>
      <c r="G22" s="9"/>
      <c r="H22" s="9"/>
      <c r="I22" s="19">
        <f>+AccionistasTable[[#This Row],[Número de acciones/cuotas]]*10000</f>
        <v>0</v>
      </c>
      <c r="J22" s="9">
        <f>+AccionistasTable[[#This Row],[Accionista]]</f>
        <v>0</v>
      </c>
      <c r="K22" s="9"/>
      <c r="L22" s="9"/>
      <c r="M22" s="9"/>
      <c r="N22" s="9"/>
      <c r="O22" s="9"/>
      <c r="P22" s="19">
        <f>+$S$9*AccionistasTable[[#This Row],[Porcentaje]]</f>
        <v>0</v>
      </c>
      <c r="Q22" s="10"/>
    </row>
    <row r="23" spans="1:17">
      <c r="A23" s="8" t="str">
        <f t="shared" si="0"/>
        <v>ACC-019</v>
      </c>
      <c r="B23" s="9">
        <f>+EmpresasTable[[#This Row],[Razón social]]</f>
        <v>0</v>
      </c>
      <c r="C23" s="9">
        <f>+FamiliaTable[[#This Row],[Nombre completo]]</f>
        <v>0</v>
      </c>
      <c r="D23" s="9"/>
      <c r="E23" s="9"/>
      <c r="F23" s="17"/>
      <c r="G23" s="9"/>
      <c r="H23" s="9"/>
      <c r="I23" s="19">
        <f>+AccionistasTable[[#This Row],[Número de acciones/cuotas]]*10000</f>
        <v>0</v>
      </c>
      <c r="J23" s="9">
        <f>+AccionistasTable[[#This Row],[Accionista]]</f>
        <v>0</v>
      </c>
      <c r="K23" s="9"/>
      <c r="L23" s="9"/>
      <c r="M23" s="9"/>
      <c r="N23" s="9"/>
      <c r="O23" s="9"/>
      <c r="P23" s="19">
        <f>+$S$9*AccionistasTable[[#This Row],[Porcentaje]]</f>
        <v>0</v>
      </c>
      <c r="Q23" s="10"/>
    </row>
    <row r="24" spans="1:17">
      <c r="A24" s="8" t="str">
        <f t="shared" si="0"/>
        <v>ACC-020</v>
      </c>
      <c r="B24" s="9">
        <f>+EmpresasTable[[#This Row],[Razón social]]</f>
        <v>0</v>
      </c>
      <c r="C24" s="9">
        <f>+FamiliaTable[[#This Row],[Nombre completo]]</f>
        <v>0</v>
      </c>
      <c r="D24" s="9"/>
      <c r="E24" s="9"/>
      <c r="F24" s="17"/>
      <c r="G24" s="9"/>
      <c r="H24" s="9"/>
      <c r="I24" s="19">
        <f>+AccionistasTable[[#This Row],[Número de acciones/cuotas]]*10000</f>
        <v>0</v>
      </c>
      <c r="J24" s="9">
        <f>+AccionistasTable[[#This Row],[Accionista]]</f>
        <v>0</v>
      </c>
      <c r="K24" s="9"/>
      <c r="L24" s="9"/>
      <c r="M24" s="9"/>
      <c r="N24" s="9"/>
      <c r="O24" s="9"/>
      <c r="P24" s="19">
        <f>+$S$9*AccionistasTable[[#This Row],[Porcentaje]]</f>
        <v>0</v>
      </c>
      <c r="Q24" s="10"/>
    </row>
    <row r="25" spans="1:17">
      <c r="A25" s="8" t="str">
        <f t="shared" si="0"/>
        <v>ACC-021</v>
      </c>
      <c r="B25" s="9">
        <f>+EmpresasTable[[#This Row],[Razón social]]</f>
        <v>0</v>
      </c>
      <c r="C25" s="9">
        <f>+FamiliaTable[[#This Row],[Nombre completo]]</f>
        <v>0</v>
      </c>
      <c r="D25" s="9"/>
      <c r="E25" s="9"/>
      <c r="F25" s="17"/>
      <c r="G25" s="9"/>
      <c r="H25" s="9"/>
      <c r="I25" s="19">
        <f>+AccionistasTable[[#This Row],[Número de acciones/cuotas]]*10000</f>
        <v>0</v>
      </c>
      <c r="J25" s="9">
        <f>+AccionistasTable[[#This Row],[Accionista]]</f>
        <v>0</v>
      </c>
      <c r="K25" s="9"/>
      <c r="L25" s="9"/>
      <c r="M25" s="9"/>
      <c r="N25" s="9"/>
      <c r="O25" s="9"/>
      <c r="P25" s="19">
        <f>+$S$9*AccionistasTable[[#This Row],[Porcentaje]]</f>
        <v>0</v>
      </c>
      <c r="Q25" s="10"/>
    </row>
    <row r="26" spans="1:17">
      <c r="A26" s="8" t="str">
        <f t="shared" si="0"/>
        <v>ACC-022</v>
      </c>
      <c r="B26" s="9">
        <f>+EmpresasTable[[#This Row],[Razón social]]</f>
        <v>0</v>
      </c>
      <c r="C26" s="9">
        <f>+FamiliaTable[[#This Row],[Nombre completo]]</f>
        <v>0</v>
      </c>
      <c r="D26" s="9"/>
      <c r="E26" s="9"/>
      <c r="F26" s="17"/>
      <c r="G26" s="9"/>
      <c r="H26" s="9"/>
      <c r="I26" s="19">
        <f>+AccionistasTable[[#This Row],[Número de acciones/cuotas]]*10000</f>
        <v>0</v>
      </c>
      <c r="J26" s="9">
        <f>+AccionistasTable[[#This Row],[Accionista]]</f>
        <v>0</v>
      </c>
      <c r="K26" s="9"/>
      <c r="L26" s="9"/>
      <c r="M26" s="9"/>
      <c r="N26" s="9"/>
      <c r="O26" s="9"/>
      <c r="P26" s="19">
        <f>+$S$9*AccionistasTable[[#This Row],[Porcentaje]]</f>
        <v>0</v>
      </c>
      <c r="Q26" s="10"/>
    </row>
    <row r="27" spans="1:17">
      <c r="A27" s="8" t="str">
        <f t="shared" si="0"/>
        <v>ACC-023</v>
      </c>
      <c r="B27" s="9">
        <f>+EmpresasTable[[#This Row],[Razón social]]</f>
        <v>0</v>
      </c>
      <c r="C27" s="9">
        <f>+FamiliaTable[[#This Row],[Nombre completo]]</f>
        <v>0</v>
      </c>
      <c r="D27" s="9"/>
      <c r="E27" s="9"/>
      <c r="F27" s="17"/>
      <c r="G27" s="9"/>
      <c r="H27" s="9"/>
      <c r="I27" s="19">
        <f>+AccionistasTable[[#This Row],[Número de acciones/cuotas]]*10000</f>
        <v>0</v>
      </c>
      <c r="J27" s="9">
        <f>+AccionistasTable[[#This Row],[Accionista]]</f>
        <v>0</v>
      </c>
      <c r="K27" s="9"/>
      <c r="L27" s="9"/>
      <c r="M27" s="9"/>
      <c r="N27" s="9"/>
      <c r="O27" s="9"/>
      <c r="P27" s="19">
        <f>+$S$9*AccionistasTable[[#This Row],[Porcentaje]]</f>
        <v>0</v>
      </c>
      <c r="Q27" s="10"/>
    </row>
    <row r="28" spans="1:17">
      <c r="A28" s="8" t="str">
        <f t="shared" si="0"/>
        <v>ACC-024</v>
      </c>
      <c r="B28" s="9">
        <f>+EmpresasTable[[#This Row],[Razón social]]</f>
        <v>0</v>
      </c>
      <c r="C28" s="9">
        <f>+FamiliaTable[[#This Row],[Nombre completo]]</f>
        <v>0</v>
      </c>
      <c r="D28" s="9"/>
      <c r="E28" s="9"/>
      <c r="F28" s="17"/>
      <c r="G28" s="9"/>
      <c r="H28" s="9"/>
      <c r="I28" s="19">
        <f>+AccionistasTable[[#This Row],[Número de acciones/cuotas]]*10000</f>
        <v>0</v>
      </c>
      <c r="J28" s="9">
        <f>+AccionistasTable[[#This Row],[Accionista]]</f>
        <v>0</v>
      </c>
      <c r="K28" s="9"/>
      <c r="L28" s="9"/>
      <c r="M28" s="9"/>
      <c r="N28" s="9"/>
      <c r="O28" s="9"/>
      <c r="P28" s="19">
        <f>+$S$9*AccionistasTable[[#This Row],[Porcentaje]]</f>
        <v>0</v>
      </c>
      <c r="Q28" s="10"/>
    </row>
    <row r="29" spans="1:17">
      <c r="A29" s="8" t="str">
        <f t="shared" si="0"/>
        <v>ACC-025</v>
      </c>
      <c r="B29" s="9">
        <f>+EmpresasTable[[#This Row],[Razón social]]</f>
        <v>0</v>
      </c>
      <c r="C29" s="9">
        <f>+FamiliaTable[[#This Row],[Nombre completo]]</f>
        <v>0</v>
      </c>
      <c r="D29" s="9"/>
      <c r="E29" s="9"/>
      <c r="F29" s="17"/>
      <c r="G29" s="9"/>
      <c r="H29" s="9"/>
      <c r="I29" s="19">
        <f>+AccionistasTable[[#This Row],[Número de acciones/cuotas]]*10000</f>
        <v>0</v>
      </c>
      <c r="J29" s="9">
        <f>+AccionistasTable[[#This Row],[Accionista]]</f>
        <v>0</v>
      </c>
      <c r="K29" s="9"/>
      <c r="L29" s="9"/>
      <c r="M29" s="9"/>
      <c r="N29" s="9"/>
      <c r="O29" s="9"/>
      <c r="P29" s="19">
        <f>+$S$9*AccionistasTable[[#This Row],[Porcentaje]]</f>
        <v>0</v>
      </c>
      <c r="Q29" s="10"/>
    </row>
    <row r="30" spans="1:17">
      <c r="A30" s="8" t="str">
        <f t="shared" si="0"/>
        <v>ACC-026</v>
      </c>
      <c r="B30" s="9">
        <f>+EmpresasTable[[#This Row],[Razón social]]</f>
        <v>0</v>
      </c>
      <c r="C30" s="9">
        <f>+FamiliaTable[[#This Row],[Nombre completo]]</f>
        <v>0</v>
      </c>
      <c r="D30" s="9"/>
      <c r="E30" s="9"/>
      <c r="F30" s="17"/>
      <c r="G30" s="9"/>
      <c r="H30" s="9"/>
      <c r="I30" s="19">
        <f>+AccionistasTable[[#This Row],[Número de acciones/cuotas]]*10000</f>
        <v>0</v>
      </c>
      <c r="J30" s="9">
        <f>+AccionistasTable[[#This Row],[Accionista]]</f>
        <v>0</v>
      </c>
      <c r="K30" s="9"/>
      <c r="L30" s="9"/>
      <c r="M30" s="9"/>
      <c r="N30" s="9"/>
      <c r="O30" s="9"/>
      <c r="P30" s="19">
        <f>+$S$9*AccionistasTable[[#This Row],[Porcentaje]]</f>
        <v>0</v>
      </c>
      <c r="Q30" s="10"/>
    </row>
    <row r="31" spans="1:17">
      <c r="A31" s="8" t="str">
        <f t="shared" si="0"/>
        <v>ACC-027</v>
      </c>
      <c r="B31" s="9">
        <f>+EmpresasTable[[#This Row],[Razón social]]</f>
        <v>0</v>
      </c>
      <c r="C31" s="9">
        <f>+FamiliaTable[[#This Row],[Nombre completo]]</f>
        <v>0</v>
      </c>
      <c r="D31" s="9"/>
      <c r="E31" s="9"/>
      <c r="F31" s="17"/>
      <c r="G31" s="9"/>
      <c r="H31" s="9"/>
      <c r="I31" s="19">
        <f>+AccionistasTable[[#This Row],[Número de acciones/cuotas]]*10000</f>
        <v>0</v>
      </c>
      <c r="J31" s="9">
        <f>+AccionistasTable[[#This Row],[Accionista]]</f>
        <v>0</v>
      </c>
      <c r="K31" s="9"/>
      <c r="L31" s="9"/>
      <c r="M31" s="9"/>
      <c r="N31" s="9"/>
      <c r="O31" s="9"/>
      <c r="P31" s="19">
        <f>+$S$9*AccionistasTable[[#This Row],[Porcentaje]]</f>
        <v>0</v>
      </c>
      <c r="Q31" s="10"/>
    </row>
    <row r="32" spans="1:17">
      <c r="A32" s="8" t="str">
        <f t="shared" si="0"/>
        <v>ACC-028</v>
      </c>
      <c r="B32" s="9">
        <f>+EmpresasTable[[#This Row],[Razón social]]</f>
        <v>0</v>
      </c>
      <c r="C32" s="9">
        <f>+FamiliaTable[[#This Row],[Nombre completo]]</f>
        <v>0</v>
      </c>
      <c r="D32" s="9"/>
      <c r="E32" s="9"/>
      <c r="F32" s="17"/>
      <c r="G32" s="9"/>
      <c r="H32" s="9"/>
      <c r="I32" s="19">
        <f>+AccionistasTable[[#This Row],[Número de acciones/cuotas]]*10000</f>
        <v>0</v>
      </c>
      <c r="J32" s="9">
        <f>+AccionistasTable[[#This Row],[Accionista]]</f>
        <v>0</v>
      </c>
      <c r="K32" s="9"/>
      <c r="L32" s="9"/>
      <c r="M32" s="9"/>
      <c r="N32" s="9"/>
      <c r="O32" s="9"/>
      <c r="P32" s="19">
        <f>+$S$9*AccionistasTable[[#This Row],[Porcentaje]]</f>
        <v>0</v>
      </c>
      <c r="Q32" s="10"/>
    </row>
    <row r="33" spans="1:17">
      <c r="A33" s="8" t="str">
        <f t="shared" si="0"/>
        <v>ACC-029</v>
      </c>
      <c r="B33" s="9">
        <f>+EmpresasTable[[#This Row],[Razón social]]</f>
        <v>0</v>
      </c>
      <c r="C33" s="9">
        <f>+FamiliaTable[[#This Row],[Nombre completo]]</f>
        <v>0</v>
      </c>
      <c r="D33" s="9"/>
      <c r="E33" s="9"/>
      <c r="F33" s="17"/>
      <c r="G33" s="9"/>
      <c r="H33" s="9"/>
      <c r="I33" s="19">
        <f>+AccionistasTable[[#This Row],[Número de acciones/cuotas]]*10000</f>
        <v>0</v>
      </c>
      <c r="J33" s="9">
        <f>+AccionistasTable[[#This Row],[Accionista]]</f>
        <v>0</v>
      </c>
      <c r="K33" s="9"/>
      <c r="L33" s="9"/>
      <c r="M33" s="9"/>
      <c r="N33" s="9"/>
      <c r="O33" s="9"/>
      <c r="P33" s="19">
        <f>+$S$9*AccionistasTable[[#This Row],[Porcentaje]]</f>
        <v>0</v>
      </c>
      <c r="Q33" s="10"/>
    </row>
    <row r="34" spans="1:17">
      <c r="A34" s="8" t="str">
        <f t="shared" si="0"/>
        <v>ACC-030</v>
      </c>
      <c r="B34" s="9">
        <f>+EmpresasTable[[#This Row],[Razón social]]</f>
        <v>0</v>
      </c>
      <c r="C34" s="9">
        <f>+FamiliaTable[[#This Row],[Nombre completo]]</f>
        <v>0</v>
      </c>
      <c r="D34" s="9"/>
      <c r="E34" s="9"/>
      <c r="F34" s="17"/>
      <c r="G34" s="9"/>
      <c r="H34" s="9"/>
      <c r="I34" s="19">
        <f>+AccionistasTable[[#This Row],[Número de acciones/cuotas]]*10000</f>
        <v>0</v>
      </c>
      <c r="J34" s="9">
        <f>+AccionistasTable[[#This Row],[Accionista]]</f>
        <v>0</v>
      </c>
      <c r="K34" s="9"/>
      <c r="L34" s="9"/>
      <c r="M34" s="9"/>
      <c r="N34" s="9"/>
      <c r="O34" s="9"/>
      <c r="P34" s="19">
        <f>+$S$9*AccionistasTable[[#This Row],[Porcentaje]]</f>
        <v>0</v>
      </c>
      <c r="Q34" s="10"/>
    </row>
    <row r="35" spans="1:17">
      <c r="A35" s="8" t="e">
        <f t="shared" si="0"/>
        <v>#VALUE!</v>
      </c>
      <c r="B35" s="9" t="e">
        <f>+EmpresasTable[[#This Row],[Razón social]]</f>
        <v>#VALUE!</v>
      </c>
      <c r="C35" s="9">
        <f>+FamiliaTable[[#This Row],[Nombre completo]]</f>
        <v>0</v>
      </c>
      <c r="D35" s="9"/>
      <c r="E35" s="9"/>
      <c r="F35" s="17"/>
      <c r="G35" s="9"/>
      <c r="H35" s="9"/>
      <c r="I35" s="19">
        <f>+AccionistasTable[[#This Row],[Número de acciones/cuotas]]*10000</f>
        <v>0</v>
      </c>
      <c r="J35" s="9">
        <f>+AccionistasTable[[#This Row],[Accionista]]</f>
        <v>0</v>
      </c>
      <c r="K35" s="9"/>
      <c r="L35" s="9"/>
      <c r="M35" s="9"/>
      <c r="N35" s="9"/>
      <c r="O35" s="9"/>
      <c r="P35" s="19">
        <f>+$S$9*AccionistasTable[[#This Row],[Porcentaje]]</f>
        <v>0</v>
      </c>
      <c r="Q35" s="10"/>
    </row>
    <row r="36" spans="1:17">
      <c r="A36" s="8" t="e">
        <f t="shared" si="0"/>
        <v>#VALUE!</v>
      </c>
      <c r="B36" s="9" t="e">
        <f>+EmpresasTable[[#This Row],[Razón social]]</f>
        <v>#VALUE!</v>
      </c>
      <c r="C36" s="9">
        <f>+FamiliaTable[[#This Row],[Nombre completo]]</f>
        <v>0</v>
      </c>
      <c r="D36" s="9"/>
      <c r="E36" s="9"/>
      <c r="F36" s="17"/>
      <c r="G36" s="9"/>
      <c r="H36" s="9"/>
      <c r="I36" s="19">
        <f>+AccionistasTable[[#This Row],[Número de acciones/cuotas]]*10000</f>
        <v>0</v>
      </c>
      <c r="J36" s="9">
        <f>+AccionistasTable[[#This Row],[Accionista]]</f>
        <v>0</v>
      </c>
      <c r="K36" s="9"/>
      <c r="L36" s="9"/>
      <c r="M36" s="9"/>
      <c r="N36" s="9"/>
      <c r="O36" s="9"/>
      <c r="P36" s="19">
        <f>+$S$9*AccionistasTable[[#This Row],[Porcentaje]]</f>
        <v>0</v>
      </c>
      <c r="Q36" s="10"/>
    </row>
    <row r="37" spans="1:17">
      <c r="A37" s="8" t="e">
        <f t="shared" ref="A37:A68" si="1">IF(B37="","","ACC-"&amp;TEXT(ROW()-4,"000"))</f>
        <v>#VALUE!</v>
      </c>
      <c r="B37" s="9" t="e">
        <f>+EmpresasTable[[#This Row],[Razón social]]</f>
        <v>#VALUE!</v>
      </c>
      <c r="C37" s="9">
        <f>+FamiliaTable[[#This Row],[Nombre completo]]</f>
        <v>0</v>
      </c>
      <c r="D37" s="9"/>
      <c r="E37" s="9"/>
      <c r="F37" s="17"/>
      <c r="G37" s="9"/>
      <c r="H37" s="9"/>
      <c r="I37" s="19">
        <f>+AccionistasTable[[#This Row],[Número de acciones/cuotas]]*10000</f>
        <v>0</v>
      </c>
      <c r="J37" s="9">
        <f>+AccionistasTable[[#This Row],[Accionista]]</f>
        <v>0</v>
      </c>
      <c r="K37" s="9"/>
      <c r="L37" s="9"/>
      <c r="M37" s="9"/>
      <c r="N37" s="9"/>
      <c r="O37" s="9"/>
      <c r="P37" s="19">
        <f>+$S$9*AccionistasTable[[#This Row],[Porcentaje]]</f>
        <v>0</v>
      </c>
      <c r="Q37" s="10"/>
    </row>
    <row r="38" spans="1:17">
      <c r="A38" s="8" t="e">
        <f t="shared" si="1"/>
        <v>#VALUE!</v>
      </c>
      <c r="B38" s="9" t="e">
        <f>+EmpresasTable[[#This Row],[Razón social]]</f>
        <v>#VALUE!</v>
      </c>
      <c r="C38" s="9">
        <f>+FamiliaTable[[#This Row],[Nombre completo]]</f>
        <v>0</v>
      </c>
      <c r="D38" s="9"/>
      <c r="E38" s="9"/>
      <c r="F38" s="17"/>
      <c r="G38" s="9"/>
      <c r="H38" s="9"/>
      <c r="I38" s="19">
        <f>+AccionistasTable[[#This Row],[Número de acciones/cuotas]]*10000</f>
        <v>0</v>
      </c>
      <c r="J38" s="9">
        <f>+AccionistasTable[[#This Row],[Accionista]]</f>
        <v>0</v>
      </c>
      <c r="K38" s="9"/>
      <c r="L38" s="9"/>
      <c r="M38" s="9"/>
      <c r="N38" s="9"/>
      <c r="O38" s="9"/>
      <c r="P38" s="19">
        <f>+$S$9*AccionistasTable[[#This Row],[Porcentaje]]</f>
        <v>0</v>
      </c>
      <c r="Q38" s="10"/>
    </row>
    <row r="39" spans="1:17">
      <c r="A39" s="8" t="e">
        <f t="shared" si="1"/>
        <v>#VALUE!</v>
      </c>
      <c r="B39" s="9" t="e">
        <f>+EmpresasTable[[#This Row],[Razón social]]</f>
        <v>#VALUE!</v>
      </c>
      <c r="C39" s="9">
        <f>+FamiliaTable[[#This Row],[Nombre completo]]</f>
        <v>0</v>
      </c>
      <c r="D39" s="9"/>
      <c r="E39" s="9"/>
      <c r="F39" s="17"/>
      <c r="G39" s="9"/>
      <c r="H39" s="9"/>
      <c r="I39" s="19">
        <f>+AccionistasTable[[#This Row],[Número de acciones/cuotas]]*10000</f>
        <v>0</v>
      </c>
      <c r="J39" s="9">
        <f>+AccionistasTable[[#This Row],[Accionista]]</f>
        <v>0</v>
      </c>
      <c r="K39" s="9"/>
      <c r="L39" s="9"/>
      <c r="M39" s="9"/>
      <c r="N39" s="9"/>
      <c r="O39" s="9"/>
      <c r="P39" s="19">
        <f>+$S$9*AccionistasTable[[#This Row],[Porcentaje]]</f>
        <v>0</v>
      </c>
      <c r="Q39" s="10"/>
    </row>
    <row r="40" spans="1:17">
      <c r="A40" s="8" t="e">
        <f t="shared" si="1"/>
        <v>#VALUE!</v>
      </c>
      <c r="B40" s="9" t="e">
        <f>+EmpresasTable[[#This Row],[Razón social]]</f>
        <v>#VALUE!</v>
      </c>
      <c r="C40" s="9">
        <f>+FamiliaTable[[#This Row],[Nombre completo]]</f>
        <v>0</v>
      </c>
      <c r="D40" s="9"/>
      <c r="E40" s="9"/>
      <c r="F40" s="17"/>
      <c r="G40" s="9"/>
      <c r="H40" s="9"/>
      <c r="I40" s="19">
        <f>+AccionistasTable[[#This Row],[Número de acciones/cuotas]]*10000</f>
        <v>0</v>
      </c>
      <c r="J40" s="9">
        <f>+AccionistasTable[[#This Row],[Accionista]]</f>
        <v>0</v>
      </c>
      <c r="K40" s="9"/>
      <c r="L40" s="9"/>
      <c r="M40" s="9"/>
      <c r="N40" s="9"/>
      <c r="O40" s="9"/>
      <c r="P40" s="19">
        <f>+$S$9*AccionistasTable[[#This Row],[Porcentaje]]</f>
        <v>0</v>
      </c>
      <c r="Q40" s="10"/>
    </row>
    <row r="41" spans="1:17">
      <c r="A41" s="8" t="e">
        <f t="shared" si="1"/>
        <v>#VALUE!</v>
      </c>
      <c r="B41" s="9" t="e">
        <f>+EmpresasTable[[#This Row],[Razón social]]</f>
        <v>#VALUE!</v>
      </c>
      <c r="C41" s="9">
        <f>+FamiliaTable[[#This Row],[Nombre completo]]</f>
        <v>0</v>
      </c>
      <c r="D41" s="9"/>
      <c r="E41" s="9"/>
      <c r="F41" s="17"/>
      <c r="G41" s="9"/>
      <c r="H41" s="9"/>
      <c r="I41" s="19">
        <f>+AccionistasTable[[#This Row],[Número de acciones/cuotas]]*10000</f>
        <v>0</v>
      </c>
      <c r="J41" s="9">
        <f>+AccionistasTable[[#This Row],[Accionista]]</f>
        <v>0</v>
      </c>
      <c r="K41" s="9"/>
      <c r="L41" s="9"/>
      <c r="M41" s="9"/>
      <c r="N41" s="9"/>
      <c r="O41" s="9"/>
      <c r="P41" s="19">
        <f>+$S$9*AccionistasTable[[#This Row],[Porcentaje]]</f>
        <v>0</v>
      </c>
      <c r="Q41" s="10"/>
    </row>
    <row r="42" spans="1:17">
      <c r="A42" s="8" t="e">
        <f t="shared" si="1"/>
        <v>#VALUE!</v>
      </c>
      <c r="B42" s="9" t="e">
        <f>+EmpresasTable[[#This Row],[Razón social]]</f>
        <v>#VALUE!</v>
      </c>
      <c r="C42" s="9">
        <f>+FamiliaTable[[#This Row],[Nombre completo]]</f>
        <v>0</v>
      </c>
      <c r="D42" s="9"/>
      <c r="E42" s="9"/>
      <c r="F42" s="17"/>
      <c r="G42" s="9"/>
      <c r="H42" s="9"/>
      <c r="I42" s="19">
        <f>+AccionistasTable[[#This Row],[Número de acciones/cuotas]]*10000</f>
        <v>0</v>
      </c>
      <c r="J42" s="9">
        <f>+AccionistasTable[[#This Row],[Accionista]]</f>
        <v>0</v>
      </c>
      <c r="K42" s="9"/>
      <c r="L42" s="9"/>
      <c r="M42" s="9"/>
      <c r="N42" s="9"/>
      <c r="O42" s="9"/>
      <c r="P42" s="19">
        <f>+$S$9*AccionistasTable[[#This Row],[Porcentaje]]</f>
        <v>0</v>
      </c>
      <c r="Q42" s="10"/>
    </row>
    <row r="43" spans="1:17">
      <c r="A43" s="8" t="e">
        <f t="shared" si="1"/>
        <v>#VALUE!</v>
      </c>
      <c r="B43" s="9" t="e">
        <f>+EmpresasTable[[#This Row],[Razón social]]</f>
        <v>#VALUE!</v>
      </c>
      <c r="C43" s="9">
        <f>+FamiliaTable[[#This Row],[Nombre completo]]</f>
        <v>0</v>
      </c>
      <c r="D43" s="9"/>
      <c r="E43" s="9"/>
      <c r="F43" s="17"/>
      <c r="G43" s="9"/>
      <c r="H43" s="9"/>
      <c r="I43" s="19">
        <f>+AccionistasTable[[#This Row],[Número de acciones/cuotas]]*10000</f>
        <v>0</v>
      </c>
      <c r="J43" s="9">
        <f>+AccionistasTable[[#This Row],[Accionista]]</f>
        <v>0</v>
      </c>
      <c r="K43" s="9"/>
      <c r="L43" s="9"/>
      <c r="M43" s="9"/>
      <c r="N43" s="9"/>
      <c r="O43" s="9"/>
      <c r="P43" s="19">
        <f>+$S$9*AccionistasTable[[#This Row],[Porcentaje]]</f>
        <v>0</v>
      </c>
      <c r="Q43" s="10"/>
    </row>
    <row r="44" spans="1:17">
      <c r="A44" s="8" t="e">
        <f t="shared" si="1"/>
        <v>#VALUE!</v>
      </c>
      <c r="B44" s="9" t="e">
        <f>+EmpresasTable[[#This Row],[Razón social]]</f>
        <v>#VALUE!</v>
      </c>
      <c r="C44" s="9">
        <f>+FamiliaTable[[#This Row],[Nombre completo]]</f>
        <v>0</v>
      </c>
      <c r="D44" s="9"/>
      <c r="E44" s="9"/>
      <c r="F44" s="17"/>
      <c r="G44" s="9"/>
      <c r="H44" s="9"/>
      <c r="I44" s="19">
        <f>+AccionistasTable[[#This Row],[Número de acciones/cuotas]]*10000</f>
        <v>0</v>
      </c>
      <c r="J44" s="9">
        <f>+AccionistasTable[[#This Row],[Accionista]]</f>
        <v>0</v>
      </c>
      <c r="K44" s="9"/>
      <c r="L44" s="9"/>
      <c r="M44" s="9"/>
      <c r="N44" s="9"/>
      <c r="O44" s="9"/>
      <c r="P44" s="19">
        <f>+$S$9*AccionistasTable[[#This Row],[Porcentaje]]</f>
        <v>0</v>
      </c>
      <c r="Q44" s="10"/>
    </row>
    <row r="45" spans="1:17">
      <c r="A45" s="8" t="e">
        <f t="shared" si="1"/>
        <v>#VALUE!</v>
      </c>
      <c r="B45" s="9" t="e">
        <f>+EmpresasTable[[#This Row],[Razón social]]</f>
        <v>#VALUE!</v>
      </c>
      <c r="C45" s="9">
        <f>+FamiliaTable[[#This Row],[Nombre completo]]</f>
        <v>0</v>
      </c>
      <c r="D45" s="9"/>
      <c r="E45" s="9"/>
      <c r="F45" s="17"/>
      <c r="G45" s="9"/>
      <c r="H45" s="9"/>
      <c r="I45" s="19">
        <f>+AccionistasTable[[#This Row],[Número de acciones/cuotas]]*10000</f>
        <v>0</v>
      </c>
      <c r="J45" s="9">
        <f>+AccionistasTable[[#This Row],[Accionista]]</f>
        <v>0</v>
      </c>
      <c r="K45" s="9"/>
      <c r="L45" s="9"/>
      <c r="M45" s="9"/>
      <c r="N45" s="9"/>
      <c r="O45" s="9"/>
      <c r="P45" s="19">
        <f>+$S$9*AccionistasTable[[#This Row],[Porcentaje]]</f>
        <v>0</v>
      </c>
      <c r="Q45" s="10"/>
    </row>
    <row r="46" spans="1:17">
      <c r="A46" s="8" t="e">
        <f t="shared" si="1"/>
        <v>#VALUE!</v>
      </c>
      <c r="B46" s="9" t="e">
        <f>+EmpresasTable[[#This Row],[Razón social]]</f>
        <v>#VALUE!</v>
      </c>
      <c r="C46" s="9">
        <f>+FamiliaTable[[#This Row],[Nombre completo]]</f>
        <v>0</v>
      </c>
      <c r="D46" s="9"/>
      <c r="E46" s="9"/>
      <c r="F46" s="17"/>
      <c r="G46" s="9"/>
      <c r="H46" s="9"/>
      <c r="I46" s="19">
        <f>+AccionistasTable[[#This Row],[Número de acciones/cuotas]]*10000</f>
        <v>0</v>
      </c>
      <c r="J46" s="9">
        <f>+AccionistasTable[[#This Row],[Accionista]]</f>
        <v>0</v>
      </c>
      <c r="K46" s="9"/>
      <c r="L46" s="9"/>
      <c r="M46" s="9"/>
      <c r="N46" s="9"/>
      <c r="O46" s="9"/>
      <c r="P46" s="19">
        <f>+$S$9*AccionistasTable[[#This Row],[Porcentaje]]</f>
        <v>0</v>
      </c>
      <c r="Q46" s="10"/>
    </row>
    <row r="47" spans="1:17">
      <c r="A47" s="8" t="e">
        <f t="shared" si="1"/>
        <v>#VALUE!</v>
      </c>
      <c r="B47" s="9" t="e">
        <f>+EmpresasTable[[#This Row],[Razón social]]</f>
        <v>#VALUE!</v>
      </c>
      <c r="C47" s="9">
        <f>+FamiliaTable[[#This Row],[Nombre completo]]</f>
        <v>0</v>
      </c>
      <c r="D47" s="9"/>
      <c r="E47" s="9"/>
      <c r="F47" s="17"/>
      <c r="G47" s="9"/>
      <c r="H47" s="9"/>
      <c r="I47" s="19">
        <f>+AccionistasTable[[#This Row],[Número de acciones/cuotas]]*10000</f>
        <v>0</v>
      </c>
      <c r="J47" s="9">
        <f>+AccionistasTable[[#This Row],[Accionista]]</f>
        <v>0</v>
      </c>
      <c r="K47" s="9"/>
      <c r="L47" s="9"/>
      <c r="M47" s="9"/>
      <c r="N47" s="9"/>
      <c r="O47" s="9"/>
      <c r="P47" s="19">
        <f>+$S$9*AccionistasTable[[#This Row],[Porcentaje]]</f>
        <v>0</v>
      </c>
      <c r="Q47" s="10"/>
    </row>
    <row r="48" spans="1:17">
      <c r="A48" s="8" t="e">
        <f t="shared" si="1"/>
        <v>#VALUE!</v>
      </c>
      <c r="B48" s="9" t="e">
        <f>+EmpresasTable[[#This Row],[Razón social]]</f>
        <v>#VALUE!</v>
      </c>
      <c r="C48" s="9">
        <f>+FamiliaTable[[#This Row],[Nombre completo]]</f>
        <v>0</v>
      </c>
      <c r="D48" s="9"/>
      <c r="E48" s="9"/>
      <c r="F48" s="17"/>
      <c r="G48" s="9"/>
      <c r="H48" s="9"/>
      <c r="I48" s="19">
        <f>+AccionistasTable[[#This Row],[Número de acciones/cuotas]]*10000</f>
        <v>0</v>
      </c>
      <c r="J48" s="9">
        <f>+AccionistasTable[[#This Row],[Accionista]]</f>
        <v>0</v>
      </c>
      <c r="K48" s="9"/>
      <c r="L48" s="9"/>
      <c r="M48" s="9"/>
      <c r="N48" s="9"/>
      <c r="O48" s="9"/>
      <c r="P48" s="19">
        <f>+$S$9*AccionistasTable[[#This Row],[Porcentaje]]</f>
        <v>0</v>
      </c>
      <c r="Q48" s="10"/>
    </row>
    <row r="49" spans="1:17">
      <c r="A49" s="8" t="e">
        <f t="shared" si="1"/>
        <v>#VALUE!</v>
      </c>
      <c r="B49" s="9" t="e">
        <f>+EmpresasTable[[#This Row],[Razón social]]</f>
        <v>#VALUE!</v>
      </c>
      <c r="C49" s="9">
        <f>+FamiliaTable[[#This Row],[Nombre completo]]</f>
        <v>0</v>
      </c>
      <c r="D49" s="9"/>
      <c r="E49" s="9"/>
      <c r="F49" s="17"/>
      <c r="G49" s="9"/>
      <c r="H49" s="9"/>
      <c r="I49" s="19">
        <f>+AccionistasTable[[#This Row],[Número de acciones/cuotas]]*10000</f>
        <v>0</v>
      </c>
      <c r="J49" s="9">
        <f>+AccionistasTable[[#This Row],[Accionista]]</f>
        <v>0</v>
      </c>
      <c r="K49" s="9"/>
      <c r="L49" s="9"/>
      <c r="M49" s="9"/>
      <c r="N49" s="9"/>
      <c r="O49" s="9"/>
      <c r="P49" s="19">
        <f>+$S$9*AccionistasTable[[#This Row],[Porcentaje]]</f>
        <v>0</v>
      </c>
      <c r="Q49" s="10"/>
    </row>
    <row r="50" spans="1:17">
      <c r="A50" s="8" t="e">
        <f t="shared" si="1"/>
        <v>#VALUE!</v>
      </c>
      <c r="B50" s="9" t="e">
        <f>+EmpresasTable[[#This Row],[Razón social]]</f>
        <v>#VALUE!</v>
      </c>
      <c r="C50" s="9">
        <f>+FamiliaTable[[#This Row],[Nombre completo]]</f>
        <v>0</v>
      </c>
      <c r="D50" s="9"/>
      <c r="E50" s="9"/>
      <c r="F50" s="17"/>
      <c r="G50" s="9"/>
      <c r="H50" s="9"/>
      <c r="I50" s="19">
        <f>+AccionistasTable[[#This Row],[Número de acciones/cuotas]]*10000</f>
        <v>0</v>
      </c>
      <c r="J50" s="9">
        <f>+AccionistasTable[[#This Row],[Accionista]]</f>
        <v>0</v>
      </c>
      <c r="K50" s="9"/>
      <c r="L50" s="9"/>
      <c r="M50" s="9"/>
      <c r="N50" s="9"/>
      <c r="O50" s="9"/>
      <c r="P50" s="19">
        <f>+$S$9*AccionistasTable[[#This Row],[Porcentaje]]</f>
        <v>0</v>
      </c>
      <c r="Q50" s="10"/>
    </row>
    <row r="51" spans="1:17">
      <c r="A51" s="8" t="e">
        <f t="shared" si="1"/>
        <v>#VALUE!</v>
      </c>
      <c r="B51" s="9" t="e">
        <f>+EmpresasTable[[#This Row],[Razón social]]</f>
        <v>#VALUE!</v>
      </c>
      <c r="C51" s="9">
        <f>+FamiliaTable[[#This Row],[Nombre completo]]</f>
        <v>0</v>
      </c>
      <c r="D51" s="9"/>
      <c r="E51" s="9"/>
      <c r="F51" s="17"/>
      <c r="G51" s="9"/>
      <c r="H51" s="9"/>
      <c r="I51" s="19">
        <f>+AccionistasTable[[#This Row],[Número de acciones/cuotas]]*10000</f>
        <v>0</v>
      </c>
      <c r="J51" s="9">
        <f>+AccionistasTable[[#This Row],[Accionista]]</f>
        <v>0</v>
      </c>
      <c r="K51" s="9"/>
      <c r="L51" s="9"/>
      <c r="M51" s="9"/>
      <c r="N51" s="9"/>
      <c r="O51" s="9"/>
      <c r="P51" s="19">
        <f>+$S$9*AccionistasTable[[#This Row],[Porcentaje]]</f>
        <v>0</v>
      </c>
      <c r="Q51" s="10"/>
    </row>
    <row r="52" spans="1:17">
      <c r="A52" s="8" t="e">
        <f t="shared" si="1"/>
        <v>#VALUE!</v>
      </c>
      <c r="B52" s="9" t="e">
        <f>+EmpresasTable[[#This Row],[Razón social]]</f>
        <v>#VALUE!</v>
      </c>
      <c r="C52" s="9">
        <f>+FamiliaTable[[#This Row],[Nombre completo]]</f>
        <v>0</v>
      </c>
      <c r="D52" s="9"/>
      <c r="E52" s="9"/>
      <c r="F52" s="17"/>
      <c r="G52" s="9"/>
      <c r="H52" s="9"/>
      <c r="I52" s="19">
        <f>+AccionistasTable[[#This Row],[Número de acciones/cuotas]]*10000</f>
        <v>0</v>
      </c>
      <c r="J52" s="9">
        <f>+AccionistasTable[[#This Row],[Accionista]]</f>
        <v>0</v>
      </c>
      <c r="K52" s="9"/>
      <c r="L52" s="9"/>
      <c r="M52" s="9"/>
      <c r="N52" s="9"/>
      <c r="O52" s="9"/>
      <c r="P52" s="19">
        <f>+$S$9*AccionistasTable[[#This Row],[Porcentaje]]</f>
        <v>0</v>
      </c>
      <c r="Q52" s="10"/>
    </row>
    <row r="53" spans="1:17">
      <c r="A53" s="8" t="e">
        <f t="shared" si="1"/>
        <v>#VALUE!</v>
      </c>
      <c r="B53" s="9" t="e">
        <f>+EmpresasTable[[#This Row],[Razón social]]</f>
        <v>#VALUE!</v>
      </c>
      <c r="C53" s="9">
        <f>+FamiliaTable[[#This Row],[Nombre completo]]</f>
        <v>0</v>
      </c>
      <c r="D53" s="9"/>
      <c r="E53" s="9"/>
      <c r="F53" s="17"/>
      <c r="G53" s="9"/>
      <c r="H53" s="9"/>
      <c r="I53" s="19">
        <f>+AccionistasTable[[#This Row],[Número de acciones/cuotas]]*10000</f>
        <v>0</v>
      </c>
      <c r="J53" s="9">
        <f>+AccionistasTable[[#This Row],[Accionista]]</f>
        <v>0</v>
      </c>
      <c r="K53" s="9"/>
      <c r="L53" s="9"/>
      <c r="M53" s="9"/>
      <c r="N53" s="9"/>
      <c r="O53" s="9"/>
      <c r="P53" s="19">
        <f>+$S$9*AccionistasTable[[#This Row],[Porcentaje]]</f>
        <v>0</v>
      </c>
      <c r="Q53" s="10"/>
    </row>
    <row r="54" spans="1:17">
      <c r="A54" s="8" t="e">
        <f t="shared" si="1"/>
        <v>#VALUE!</v>
      </c>
      <c r="B54" s="9" t="e">
        <f>+EmpresasTable[[#This Row],[Razón social]]</f>
        <v>#VALUE!</v>
      </c>
      <c r="C54" s="9">
        <f>+FamiliaTable[[#This Row],[Nombre completo]]</f>
        <v>0</v>
      </c>
      <c r="D54" s="9"/>
      <c r="E54" s="9"/>
      <c r="F54" s="17"/>
      <c r="G54" s="9"/>
      <c r="H54" s="9"/>
      <c r="I54" s="19">
        <f>+AccionistasTable[[#This Row],[Número de acciones/cuotas]]*10000</f>
        <v>0</v>
      </c>
      <c r="J54" s="9">
        <f>+AccionistasTable[[#This Row],[Accionista]]</f>
        <v>0</v>
      </c>
      <c r="K54" s="9"/>
      <c r="L54" s="9"/>
      <c r="M54" s="9"/>
      <c r="N54" s="9"/>
      <c r="O54" s="9"/>
      <c r="P54" s="19">
        <f>+$S$9*AccionistasTable[[#This Row],[Porcentaje]]</f>
        <v>0</v>
      </c>
      <c r="Q54" s="10"/>
    </row>
    <row r="55" spans="1:17">
      <c r="A55" s="8" t="e">
        <f t="shared" si="1"/>
        <v>#VALUE!</v>
      </c>
      <c r="B55" s="9" t="e">
        <f>+EmpresasTable[[#This Row],[Razón social]]</f>
        <v>#VALUE!</v>
      </c>
      <c r="C55" s="9" t="e">
        <f>+FamiliaTable[[#This Row],[Nombre completo]]</f>
        <v>#VALUE!</v>
      </c>
      <c r="D55" s="9"/>
      <c r="E55" s="9"/>
      <c r="F55" s="17"/>
      <c r="G55" s="9"/>
      <c r="H55" s="9"/>
      <c r="I55" s="19">
        <f>+AccionistasTable[[#This Row],[Número de acciones/cuotas]]*10000</f>
        <v>0</v>
      </c>
      <c r="J55" s="9" t="e">
        <f>+AccionistasTable[[#This Row],[Accionista]]</f>
        <v>#VALUE!</v>
      </c>
      <c r="K55" s="9"/>
      <c r="L55" s="9"/>
      <c r="M55" s="9"/>
      <c r="N55" s="9"/>
      <c r="O55" s="9"/>
      <c r="P55" s="19">
        <f>+$S$9*AccionistasTable[[#This Row],[Porcentaje]]</f>
        <v>0</v>
      </c>
      <c r="Q55" s="10"/>
    </row>
    <row r="56" spans="1:17">
      <c r="A56" s="8" t="e">
        <f t="shared" si="1"/>
        <v>#VALUE!</v>
      </c>
      <c r="B56" s="9" t="e">
        <f>+EmpresasTable[[#This Row],[Razón social]]</f>
        <v>#VALUE!</v>
      </c>
      <c r="C56" s="9" t="e">
        <f>+FamiliaTable[[#This Row],[Nombre completo]]</f>
        <v>#VALUE!</v>
      </c>
      <c r="D56" s="9"/>
      <c r="E56" s="9"/>
      <c r="F56" s="17"/>
      <c r="G56" s="9"/>
      <c r="H56" s="9"/>
      <c r="I56" s="19">
        <f>+AccionistasTable[[#This Row],[Número de acciones/cuotas]]*10000</f>
        <v>0</v>
      </c>
      <c r="J56" s="9" t="e">
        <f>+AccionistasTable[[#This Row],[Accionista]]</f>
        <v>#VALUE!</v>
      </c>
      <c r="K56" s="9"/>
      <c r="L56" s="9"/>
      <c r="M56" s="9"/>
      <c r="N56" s="9"/>
      <c r="O56" s="9"/>
      <c r="P56" s="19">
        <f>+$S$9*AccionistasTable[[#This Row],[Porcentaje]]</f>
        <v>0</v>
      </c>
      <c r="Q56" s="10"/>
    </row>
    <row r="57" spans="1:17">
      <c r="A57" s="8" t="e">
        <f t="shared" si="1"/>
        <v>#VALUE!</v>
      </c>
      <c r="B57" s="9" t="e">
        <f>+EmpresasTable[[#This Row],[Razón social]]</f>
        <v>#VALUE!</v>
      </c>
      <c r="C57" s="9" t="e">
        <f>+FamiliaTable[[#This Row],[Nombre completo]]</f>
        <v>#VALUE!</v>
      </c>
      <c r="D57" s="9"/>
      <c r="E57" s="9"/>
      <c r="F57" s="17"/>
      <c r="G57" s="9"/>
      <c r="H57" s="9"/>
      <c r="I57" s="19">
        <f>+AccionistasTable[[#This Row],[Número de acciones/cuotas]]*10000</f>
        <v>0</v>
      </c>
      <c r="J57" s="9" t="e">
        <f>+AccionistasTable[[#This Row],[Accionista]]</f>
        <v>#VALUE!</v>
      </c>
      <c r="K57" s="9"/>
      <c r="L57" s="9"/>
      <c r="M57" s="9"/>
      <c r="N57" s="9"/>
      <c r="O57" s="9"/>
      <c r="P57" s="19">
        <f>+$S$9*AccionistasTable[[#This Row],[Porcentaje]]</f>
        <v>0</v>
      </c>
      <c r="Q57" s="10"/>
    </row>
    <row r="58" spans="1:17">
      <c r="A58" s="8" t="e">
        <f t="shared" si="1"/>
        <v>#VALUE!</v>
      </c>
      <c r="B58" s="9" t="e">
        <f>+EmpresasTable[[#This Row],[Razón social]]</f>
        <v>#VALUE!</v>
      </c>
      <c r="C58" s="9" t="e">
        <f>+FamiliaTable[[#This Row],[Nombre completo]]</f>
        <v>#VALUE!</v>
      </c>
      <c r="D58" s="9"/>
      <c r="E58" s="9"/>
      <c r="F58" s="17"/>
      <c r="G58" s="9"/>
      <c r="H58" s="9"/>
      <c r="I58" s="19">
        <f>+AccionistasTable[[#This Row],[Número de acciones/cuotas]]*10000</f>
        <v>0</v>
      </c>
      <c r="J58" s="9" t="e">
        <f>+AccionistasTable[[#This Row],[Accionista]]</f>
        <v>#VALUE!</v>
      </c>
      <c r="K58" s="9"/>
      <c r="L58" s="9"/>
      <c r="M58" s="9"/>
      <c r="N58" s="9"/>
      <c r="O58" s="9"/>
      <c r="P58" s="19">
        <f>+$S$9*AccionistasTable[[#This Row],[Porcentaje]]</f>
        <v>0</v>
      </c>
      <c r="Q58" s="10"/>
    </row>
    <row r="59" spans="1:17">
      <c r="A59" s="8" t="e">
        <f t="shared" si="1"/>
        <v>#VALUE!</v>
      </c>
      <c r="B59" s="9" t="e">
        <f>+EmpresasTable[[#This Row],[Razón social]]</f>
        <v>#VALUE!</v>
      </c>
      <c r="C59" s="9" t="e">
        <f>+FamiliaTable[[#This Row],[Nombre completo]]</f>
        <v>#VALUE!</v>
      </c>
      <c r="D59" s="9"/>
      <c r="E59" s="9"/>
      <c r="F59" s="17"/>
      <c r="G59" s="9"/>
      <c r="H59" s="9"/>
      <c r="I59" s="19">
        <f>+AccionistasTable[[#This Row],[Número de acciones/cuotas]]*10000</f>
        <v>0</v>
      </c>
      <c r="J59" s="9" t="e">
        <f>+AccionistasTable[[#This Row],[Accionista]]</f>
        <v>#VALUE!</v>
      </c>
      <c r="K59" s="9"/>
      <c r="L59" s="9"/>
      <c r="M59" s="9"/>
      <c r="N59" s="9"/>
      <c r="O59" s="9"/>
      <c r="P59" s="19">
        <f>+$S$9*AccionistasTable[[#This Row],[Porcentaje]]</f>
        <v>0</v>
      </c>
      <c r="Q59" s="10"/>
    </row>
    <row r="60" spans="1:17">
      <c r="A60" s="8" t="e">
        <f t="shared" si="1"/>
        <v>#VALUE!</v>
      </c>
      <c r="B60" s="9" t="e">
        <f>+EmpresasTable[[#This Row],[Razón social]]</f>
        <v>#VALUE!</v>
      </c>
      <c r="C60" s="9" t="e">
        <f>+FamiliaTable[[#This Row],[Nombre completo]]</f>
        <v>#VALUE!</v>
      </c>
      <c r="D60" s="9"/>
      <c r="E60" s="9"/>
      <c r="F60" s="17"/>
      <c r="G60" s="9"/>
      <c r="H60" s="9"/>
      <c r="I60" s="19">
        <f>+AccionistasTable[[#This Row],[Número de acciones/cuotas]]*10000</f>
        <v>0</v>
      </c>
      <c r="J60" s="9" t="e">
        <f>+AccionistasTable[[#This Row],[Accionista]]</f>
        <v>#VALUE!</v>
      </c>
      <c r="K60" s="9"/>
      <c r="L60" s="9"/>
      <c r="M60" s="9"/>
      <c r="N60" s="9"/>
      <c r="O60" s="9"/>
      <c r="P60" s="19">
        <f>+$S$9*AccionistasTable[[#This Row],[Porcentaje]]</f>
        <v>0</v>
      </c>
      <c r="Q60" s="10"/>
    </row>
    <row r="61" spans="1:17">
      <c r="A61" s="8" t="e">
        <f t="shared" si="1"/>
        <v>#VALUE!</v>
      </c>
      <c r="B61" s="9" t="e">
        <f>+EmpresasTable[[#This Row],[Razón social]]</f>
        <v>#VALUE!</v>
      </c>
      <c r="C61" s="9" t="e">
        <f>+FamiliaTable[[#This Row],[Nombre completo]]</f>
        <v>#VALUE!</v>
      </c>
      <c r="D61" s="9"/>
      <c r="E61" s="9"/>
      <c r="F61" s="17"/>
      <c r="G61" s="9"/>
      <c r="H61" s="9"/>
      <c r="I61" s="19">
        <f>+AccionistasTable[[#This Row],[Número de acciones/cuotas]]*10000</f>
        <v>0</v>
      </c>
      <c r="J61" s="9" t="e">
        <f>+AccionistasTable[[#This Row],[Accionista]]</f>
        <v>#VALUE!</v>
      </c>
      <c r="K61" s="9"/>
      <c r="L61" s="9"/>
      <c r="M61" s="9"/>
      <c r="N61" s="9"/>
      <c r="O61" s="9"/>
      <c r="P61" s="19">
        <f>+$S$9*AccionistasTable[[#This Row],[Porcentaje]]</f>
        <v>0</v>
      </c>
      <c r="Q61" s="10"/>
    </row>
    <row r="62" spans="1:17">
      <c r="A62" s="8" t="e">
        <f t="shared" si="1"/>
        <v>#VALUE!</v>
      </c>
      <c r="B62" s="9" t="e">
        <f>+EmpresasTable[[#This Row],[Razón social]]</f>
        <v>#VALUE!</v>
      </c>
      <c r="C62" s="9" t="e">
        <f>+FamiliaTable[[#This Row],[Nombre completo]]</f>
        <v>#VALUE!</v>
      </c>
      <c r="D62" s="9"/>
      <c r="E62" s="9"/>
      <c r="F62" s="17"/>
      <c r="G62" s="9"/>
      <c r="H62" s="9"/>
      <c r="I62" s="19">
        <f>+AccionistasTable[[#This Row],[Número de acciones/cuotas]]*10000</f>
        <v>0</v>
      </c>
      <c r="J62" s="9" t="e">
        <f>+AccionistasTable[[#This Row],[Accionista]]</f>
        <v>#VALUE!</v>
      </c>
      <c r="K62" s="9"/>
      <c r="L62" s="9"/>
      <c r="M62" s="9"/>
      <c r="N62" s="9"/>
      <c r="O62" s="9"/>
      <c r="P62" s="19">
        <f>+$S$9*AccionistasTable[[#This Row],[Porcentaje]]</f>
        <v>0</v>
      </c>
      <c r="Q62" s="10"/>
    </row>
    <row r="63" spans="1:17">
      <c r="A63" s="8" t="e">
        <f t="shared" si="1"/>
        <v>#VALUE!</v>
      </c>
      <c r="B63" s="9" t="e">
        <f>+EmpresasTable[[#This Row],[Razón social]]</f>
        <v>#VALUE!</v>
      </c>
      <c r="C63" s="9" t="e">
        <f>+FamiliaTable[[#This Row],[Nombre completo]]</f>
        <v>#VALUE!</v>
      </c>
      <c r="D63" s="9"/>
      <c r="E63" s="9"/>
      <c r="F63" s="17"/>
      <c r="G63" s="9"/>
      <c r="H63" s="9"/>
      <c r="I63" s="19">
        <f>+AccionistasTable[[#This Row],[Número de acciones/cuotas]]*10000</f>
        <v>0</v>
      </c>
      <c r="J63" s="9" t="e">
        <f>+AccionistasTable[[#This Row],[Accionista]]</f>
        <v>#VALUE!</v>
      </c>
      <c r="K63" s="9"/>
      <c r="L63" s="9"/>
      <c r="M63" s="9"/>
      <c r="N63" s="9"/>
      <c r="O63" s="9"/>
      <c r="P63" s="19">
        <f>+$S$9*AccionistasTable[[#This Row],[Porcentaje]]</f>
        <v>0</v>
      </c>
      <c r="Q63" s="10"/>
    </row>
    <row r="64" spans="1:17">
      <c r="A64" s="8" t="e">
        <f t="shared" si="1"/>
        <v>#VALUE!</v>
      </c>
      <c r="B64" s="9" t="e">
        <f>+EmpresasTable[[#This Row],[Razón social]]</f>
        <v>#VALUE!</v>
      </c>
      <c r="C64" s="9" t="e">
        <f>+FamiliaTable[[#This Row],[Nombre completo]]</f>
        <v>#VALUE!</v>
      </c>
      <c r="D64" s="9"/>
      <c r="E64" s="9"/>
      <c r="F64" s="17"/>
      <c r="G64" s="9"/>
      <c r="H64" s="9"/>
      <c r="I64" s="19">
        <f>+AccionistasTable[[#This Row],[Número de acciones/cuotas]]*10000</f>
        <v>0</v>
      </c>
      <c r="J64" s="9" t="e">
        <f>+AccionistasTable[[#This Row],[Accionista]]</f>
        <v>#VALUE!</v>
      </c>
      <c r="K64" s="9"/>
      <c r="L64" s="9"/>
      <c r="M64" s="9"/>
      <c r="N64" s="9"/>
      <c r="O64" s="9"/>
      <c r="P64" s="19">
        <f>+$S$9*AccionistasTable[[#This Row],[Porcentaje]]</f>
        <v>0</v>
      </c>
      <c r="Q64" s="10"/>
    </row>
    <row r="65" spans="1:17">
      <c r="A65" s="8" t="e">
        <f t="shared" si="1"/>
        <v>#VALUE!</v>
      </c>
      <c r="B65" s="9" t="e">
        <f>+EmpresasTable[[#This Row],[Razón social]]</f>
        <v>#VALUE!</v>
      </c>
      <c r="C65" s="9" t="e">
        <f>+FamiliaTable[[#This Row],[Nombre completo]]</f>
        <v>#VALUE!</v>
      </c>
      <c r="D65" s="9"/>
      <c r="E65" s="9"/>
      <c r="F65" s="17"/>
      <c r="G65" s="9"/>
      <c r="H65" s="9"/>
      <c r="I65" s="19">
        <f>+AccionistasTable[[#This Row],[Número de acciones/cuotas]]*10000</f>
        <v>0</v>
      </c>
      <c r="J65" s="9" t="e">
        <f>+AccionistasTable[[#This Row],[Accionista]]</f>
        <v>#VALUE!</v>
      </c>
      <c r="K65" s="9"/>
      <c r="L65" s="9"/>
      <c r="M65" s="9"/>
      <c r="N65" s="9"/>
      <c r="O65" s="9"/>
      <c r="P65" s="19">
        <f>+$S$9*AccionistasTable[[#This Row],[Porcentaje]]</f>
        <v>0</v>
      </c>
      <c r="Q65" s="10"/>
    </row>
    <row r="66" spans="1:17">
      <c r="A66" s="8" t="e">
        <f t="shared" si="1"/>
        <v>#VALUE!</v>
      </c>
      <c r="B66" s="9" t="e">
        <f>+EmpresasTable[[#This Row],[Razón social]]</f>
        <v>#VALUE!</v>
      </c>
      <c r="C66" s="9" t="e">
        <f>+FamiliaTable[[#This Row],[Nombre completo]]</f>
        <v>#VALUE!</v>
      </c>
      <c r="D66" s="9"/>
      <c r="E66" s="9"/>
      <c r="F66" s="17"/>
      <c r="G66" s="9"/>
      <c r="H66" s="9"/>
      <c r="I66" s="19">
        <f>+AccionistasTable[[#This Row],[Número de acciones/cuotas]]*10000</f>
        <v>0</v>
      </c>
      <c r="J66" s="9" t="e">
        <f>+AccionistasTable[[#This Row],[Accionista]]</f>
        <v>#VALUE!</v>
      </c>
      <c r="K66" s="9"/>
      <c r="L66" s="9"/>
      <c r="M66" s="9"/>
      <c r="N66" s="9"/>
      <c r="O66" s="9"/>
      <c r="P66" s="19">
        <f>+$S$9*AccionistasTable[[#This Row],[Porcentaje]]</f>
        <v>0</v>
      </c>
      <c r="Q66" s="10"/>
    </row>
    <row r="67" spans="1:17">
      <c r="A67" s="8" t="e">
        <f t="shared" si="1"/>
        <v>#VALUE!</v>
      </c>
      <c r="B67" s="9" t="e">
        <f>+EmpresasTable[[#This Row],[Razón social]]</f>
        <v>#VALUE!</v>
      </c>
      <c r="C67" s="9" t="e">
        <f>+FamiliaTable[[#This Row],[Nombre completo]]</f>
        <v>#VALUE!</v>
      </c>
      <c r="D67" s="9"/>
      <c r="E67" s="9"/>
      <c r="F67" s="17"/>
      <c r="G67" s="9"/>
      <c r="H67" s="9"/>
      <c r="I67" s="19">
        <f>+AccionistasTable[[#This Row],[Número de acciones/cuotas]]*10000</f>
        <v>0</v>
      </c>
      <c r="J67" s="9" t="e">
        <f>+AccionistasTable[[#This Row],[Accionista]]</f>
        <v>#VALUE!</v>
      </c>
      <c r="K67" s="9"/>
      <c r="L67" s="9"/>
      <c r="M67" s="9"/>
      <c r="N67" s="9"/>
      <c r="O67" s="9"/>
      <c r="P67" s="19">
        <f>+$S$9*AccionistasTable[[#This Row],[Porcentaje]]</f>
        <v>0</v>
      </c>
      <c r="Q67" s="10"/>
    </row>
    <row r="68" spans="1:17">
      <c r="A68" s="8" t="e">
        <f t="shared" si="1"/>
        <v>#VALUE!</v>
      </c>
      <c r="B68" s="9" t="e">
        <f>+EmpresasTable[[#This Row],[Razón social]]</f>
        <v>#VALUE!</v>
      </c>
      <c r="C68" s="9" t="e">
        <f>+FamiliaTable[[#This Row],[Nombre completo]]</f>
        <v>#VALUE!</v>
      </c>
      <c r="D68" s="9"/>
      <c r="E68" s="9"/>
      <c r="F68" s="17"/>
      <c r="G68" s="9"/>
      <c r="H68" s="9"/>
      <c r="I68" s="19">
        <f>+AccionistasTable[[#This Row],[Número de acciones/cuotas]]*10000</f>
        <v>0</v>
      </c>
      <c r="J68" s="9" t="e">
        <f>+AccionistasTable[[#This Row],[Accionista]]</f>
        <v>#VALUE!</v>
      </c>
      <c r="K68" s="9"/>
      <c r="L68" s="9"/>
      <c r="M68" s="9"/>
      <c r="N68" s="9"/>
      <c r="O68" s="9"/>
      <c r="P68" s="19">
        <f>+$S$9*AccionistasTable[[#This Row],[Porcentaje]]</f>
        <v>0</v>
      </c>
      <c r="Q68" s="10"/>
    </row>
    <row r="69" spans="1:17">
      <c r="A69" s="8" t="e">
        <f t="shared" ref="A69:A100" si="2">IF(B69="","","ACC-"&amp;TEXT(ROW()-4,"000"))</f>
        <v>#VALUE!</v>
      </c>
      <c r="B69" s="9" t="e">
        <f>+EmpresasTable[[#This Row],[Razón social]]</f>
        <v>#VALUE!</v>
      </c>
      <c r="C69" s="9" t="e">
        <f>+FamiliaTable[[#This Row],[Nombre completo]]</f>
        <v>#VALUE!</v>
      </c>
      <c r="D69" s="9"/>
      <c r="E69" s="9"/>
      <c r="F69" s="17"/>
      <c r="G69" s="9"/>
      <c r="H69" s="9"/>
      <c r="I69" s="19">
        <f>+AccionistasTable[[#This Row],[Número de acciones/cuotas]]*10000</f>
        <v>0</v>
      </c>
      <c r="J69" s="9" t="e">
        <f>+AccionistasTable[[#This Row],[Accionista]]</f>
        <v>#VALUE!</v>
      </c>
      <c r="K69" s="9"/>
      <c r="L69" s="9"/>
      <c r="M69" s="9"/>
      <c r="N69" s="9"/>
      <c r="O69" s="9"/>
      <c r="P69" s="19">
        <f>+$S$9*AccionistasTable[[#This Row],[Porcentaje]]</f>
        <v>0</v>
      </c>
      <c r="Q69" s="10"/>
    </row>
    <row r="70" spans="1:17">
      <c r="A70" s="8" t="e">
        <f t="shared" si="2"/>
        <v>#VALUE!</v>
      </c>
      <c r="B70" s="9" t="e">
        <f>+EmpresasTable[[#This Row],[Razón social]]</f>
        <v>#VALUE!</v>
      </c>
      <c r="C70" s="9" t="e">
        <f>+FamiliaTable[[#This Row],[Nombre completo]]</f>
        <v>#VALUE!</v>
      </c>
      <c r="D70" s="9"/>
      <c r="E70" s="9"/>
      <c r="F70" s="17"/>
      <c r="G70" s="9"/>
      <c r="H70" s="9"/>
      <c r="I70" s="19">
        <f>+AccionistasTable[[#This Row],[Número de acciones/cuotas]]*10000</f>
        <v>0</v>
      </c>
      <c r="J70" s="9" t="e">
        <f>+AccionistasTable[[#This Row],[Accionista]]</f>
        <v>#VALUE!</v>
      </c>
      <c r="K70" s="9"/>
      <c r="L70" s="9"/>
      <c r="M70" s="9"/>
      <c r="N70" s="9"/>
      <c r="O70" s="9"/>
      <c r="P70" s="19">
        <f>+$S$9*AccionistasTable[[#This Row],[Porcentaje]]</f>
        <v>0</v>
      </c>
      <c r="Q70" s="10"/>
    </row>
    <row r="71" spans="1:17">
      <c r="A71" s="8" t="e">
        <f t="shared" si="2"/>
        <v>#VALUE!</v>
      </c>
      <c r="B71" s="9" t="e">
        <f>+EmpresasTable[[#This Row],[Razón social]]</f>
        <v>#VALUE!</v>
      </c>
      <c r="C71" s="9" t="e">
        <f>+FamiliaTable[[#This Row],[Nombre completo]]</f>
        <v>#VALUE!</v>
      </c>
      <c r="D71" s="9"/>
      <c r="E71" s="9"/>
      <c r="F71" s="17"/>
      <c r="G71" s="9"/>
      <c r="H71" s="9"/>
      <c r="I71" s="19">
        <f>+AccionistasTable[[#This Row],[Número de acciones/cuotas]]*10000</f>
        <v>0</v>
      </c>
      <c r="J71" s="9" t="e">
        <f>+AccionistasTable[[#This Row],[Accionista]]</f>
        <v>#VALUE!</v>
      </c>
      <c r="K71" s="9"/>
      <c r="L71" s="9"/>
      <c r="M71" s="9"/>
      <c r="N71" s="9"/>
      <c r="O71" s="9"/>
      <c r="P71" s="19">
        <f>+$S$9*AccionistasTable[[#This Row],[Porcentaje]]</f>
        <v>0</v>
      </c>
      <c r="Q71" s="10"/>
    </row>
    <row r="72" spans="1:17">
      <c r="A72" s="8" t="e">
        <f t="shared" si="2"/>
        <v>#VALUE!</v>
      </c>
      <c r="B72" s="9" t="e">
        <f>+EmpresasTable[[#This Row],[Razón social]]</f>
        <v>#VALUE!</v>
      </c>
      <c r="C72" s="9" t="e">
        <f>+FamiliaTable[[#This Row],[Nombre completo]]</f>
        <v>#VALUE!</v>
      </c>
      <c r="D72" s="9"/>
      <c r="E72" s="9"/>
      <c r="F72" s="17"/>
      <c r="G72" s="9"/>
      <c r="H72" s="9"/>
      <c r="I72" s="19">
        <f>+AccionistasTable[[#This Row],[Número de acciones/cuotas]]*10000</f>
        <v>0</v>
      </c>
      <c r="J72" s="9" t="e">
        <f>+AccionistasTable[[#This Row],[Accionista]]</f>
        <v>#VALUE!</v>
      </c>
      <c r="K72" s="9"/>
      <c r="L72" s="9"/>
      <c r="M72" s="9"/>
      <c r="N72" s="9"/>
      <c r="O72" s="9"/>
      <c r="P72" s="19">
        <f>+$S$9*AccionistasTable[[#This Row],[Porcentaje]]</f>
        <v>0</v>
      </c>
      <c r="Q72" s="10"/>
    </row>
    <row r="73" spans="1:17">
      <c r="A73" s="8" t="e">
        <f t="shared" si="2"/>
        <v>#VALUE!</v>
      </c>
      <c r="B73" s="9" t="e">
        <f>+EmpresasTable[[#This Row],[Razón social]]</f>
        <v>#VALUE!</v>
      </c>
      <c r="C73" s="9" t="e">
        <f>+FamiliaTable[[#This Row],[Nombre completo]]</f>
        <v>#VALUE!</v>
      </c>
      <c r="D73" s="9"/>
      <c r="E73" s="9"/>
      <c r="F73" s="17"/>
      <c r="G73" s="9"/>
      <c r="H73" s="9"/>
      <c r="I73" s="19">
        <f>+AccionistasTable[[#This Row],[Número de acciones/cuotas]]*10000</f>
        <v>0</v>
      </c>
      <c r="J73" s="9" t="e">
        <f>+AccionistasTable[[#This Row],[Accionista]]</f>
        <v>#VALUE!</v>
      </c>
      <c r="K73" s="9"/>
      <c r="L73" s="9"/>
      <c r="M73" s="9"/>
      <c r="N73" s="9"/>
      <c r="O73" s="9"/>
      <c r="P73" s="19">
        <f>+$S$9*AccionistasTable[[#This Row],[Porcentaje]]</f>
        <v>0</v>
      </c>
      <c r="Q73" s="10"/>
    </row>
    <row r="74" spans="1:17">
      <c r="A74" s="8" t="e">
        <f t="shared" si="2"/>
        <v>#VALUE!</v>
      </c>
      <c r="B74" s="9" t="e">
        <f>+EmpresasTable[[#This Row],[Razón social]]</f>
        <v>#VALUE!</v>
      </c>
      <c r="C74" s="9" t="e">
        <f>+FamiliaTable[[#This Row],[Nombre completo]]</f>
        <v>#VALUE!</v>
      </c>
      <c r="D74" s="9"/>
      <c r="E74" s="9"/>
      <c r="F74" s="17"/>
      <c r="G74" s="9"/>
      <c r="H74" s="9"/>
      <c r="I74" s="19">
        <f>+AccionistasTable[[#This Row],[Número de acciones/cuotas]]*10000</f>
        <v>0</v>
      </c>
      <c r="J74" s="9" t="e">
        <f>+AccionistasTable[[#This Row],[Accionista]]</f>
        <v>#VALUE!</v>
      </c>
      <c r="K74" s="9"/>
      <c r="L74" s="9"/>
      <c r="M74" s="9"/>
      <c r="N74" s="9"/>
      <c r="O74" s="9"/>
      <c r="P74" s="19">
        <f>+$S$9*AccionistasTable[[#This Row],[Porcentaje]]</f>
        <v>0</v>
      </c>
      <c r="Q74" s="10"/>
    </row>
    <row r="75" spans="1:17">
      <c r="A75" s="8" t="e">
        <f t="shared" si="2"/>
        <v>#VALUE!</v>
      </c>
      <c r="B75" s="9" t="e">
        <f>+EmpresasTable[[#This Row],[Razón social]]</f>
        <v>#VALUE!</v>
      </c>
      <c r="C75" s="9" t="e">
        <f>+FamiliaTable[[#This Row],[Nombre completo]]</f>
        <v>#VALUE!</v>
      </c>
      <c r="D75" s="9"/>
      <c r="E75" s="9"/>
      <c r="F75" s="17"/>
      <c r="G75" s="9"/>
      <c r="H75" s="9"/>
      <c r="I75" s="19">
        <f>+AccionistasTable[[#This Row],[Número de acciones/cuotas]]*10000</f>
        <v>0</v>
      </c>
      <c r="J75" s="9" t="e">
        <f>+AccionistasTable[[#This Row],[Accionista]]</f>
        <v>#VALUE!</v>
      </c>
      <c r="K75" s="9"/>
      <c r="L75" s="9"/>
      <c r="M75" s="9"/>
      <c r="N75" s="9"/>
      <c r="O75" s="9"/>
      <c r="P75" s="19">
        <f>+$S$9*AccionistasTable[[#This Row],[Porcentaje]]</f>
        <v>0</v>
      </c>
      <c r="Q75" s="10"/>
    </row>
    <row r="76" spans="1:17">
      <c r="A76" s="8" t="e">
        <f t="shared" si="2"/>
        <v>#VALUE!</v>
      </c>
      <c r="B76" s="9" t="e">
        <f>+EmpresasTable[[#This Row],[Razón social]]</f>
        <v>#VALUE!</v>
      </c>
      <c r="C76" s="9" t="e">
        <f>+FamiliaTable[[#This Row],[Nombre completo]]</f>
        <v>#VALUE!</v>
      </c>
      <c r="D76" s="9"/>
      <c r="E76" s="9"/>
      <c r="F76" s="17"/>
      <c r="G76" s="9"/>
      <c r="H76" s="9"/>
      <c r="I76" s="19">
        <f>+AccionistasTable[[#This Row],[Número de acciones/cuotas]]*10000</f>
        <v>0</v>
      </c>
      <c r="J76" s="9" t="e">
        <f>+AccionistasTable[[#This Row],[Accionista]]</f>
        <v>#VALUE!</v>
      </c>
      <c r="K76" s="9"/>
      <c r="L76" s="9"/>
      <c r="M76" s="9"/>
      <c r="N76" s="9"/>
      <c r="O76" s="9"/>
      <c r="P76" s="19">
        <f>+$S$9*AccionistasTable[[#This Row],[Porcentaje]]</f>
        <v>0</v>
      </c>
      <c r="Q76" s="10"/>
    </row>
    <row r="77" spans="1:17">
      <c r="A77" s="8" t="e">
        <f t="shared" si="2"/>
        <v>#VALUE!</v>
      </c>
      <c r="B77" s="9" t="e">
        <f>+EmpresasTable[[#This Row],[Razón social]]</f>
        <v>#VALUE!</v>
      </c>
      <c r="C77" s="9" t="e">
        <f>+FamiliaTable[[#This Row],[Nombre completo]]</f>
        <v>#VALUE!</v>
      </c>
      <c r="D77" s="9"/>
      <c r="E77" s="9"/>
      <c r="F77" s="17"/>
      <c r="G77" s="9"/>
      <c r="H77" s="9"/>
      <c r="I77" s="19">
        <f>+AccionistasTable[[#This Row],[Número de acciones/cuotas]]*10000</f>
        <v>0</v>
      </c>
      <c r="J77" s="9" t="e">
        <f>+AccionistasTable[[#This Row],[Accionista]]</f>
        <v>#VALUE!</v>
      </c>
      <c r="K77" s="9"/>
      <c r="L77" s="9"/>
      <c r="M77" s="9"/>
      <c r="N77" s="9"/>
      <c r="O77" s="9"/>
      <c r="P77" s="19">
        <f>+$S$9*AccionistasTable[[#This Row],[Porcentaje]]</f>
        <v>0</v>
      </c>
      <c r="Q77" s="10"/>
    </row>
    <row r="78" spans="1:17">
      <c r="A78" s="8" t="e">
        <f t="shared" si="2"/>
        <v>#VALUE!</v>
      </c>
      <c r="B78" s="9" t="e">
        <f>+EmpresasTable[[#This Row],[Razón social]]</f>
        <v>#VALUE!</v>
      </c>
      <c r="C78" s="9" t="e">
        <f>+FamiliaTable[[#This Row],[Nombre completo]]</f>
        <v>#VALUE!</v>
      </c>
      <c r="D78" s="9"/>
      <c r="E78" s="9"/>
      <c r="F78" s="17"/>
      <c r="G78" s="9"/>
      <c r="H78" s="9"/>
      <c r="I78" s="19">
        <f>+AccionistasTable[[#This Row],[Número de acciones/cuotas]]*10000</f>
        <v>0</v>
      </c>
      <c r="J78" s="9" t="e">
        <f>+AccionistasTable[[#This Row],[Accionista]]</f>
        <v>#VALUE!</v>
      </c>
      <c r="K78" s="9"/>
      <c r="L78" s="9"/>
      <c r="M78" s="9"/>
      <c r="N78" s="9"/>
      <c r="O78" s="9"/>
      <c r="P78" s="19">
        <f>+$S$9*AccionistasTable[[#This Row],[Porcentaje]]</f>
        <v>0</v>
      </c>
      <c r="Q78" s="10"/>
    </row>
    <row r="79" spans="1:17">
      <c r="A79" s="8" t="e">
        <f t="shared" si="2"/>
        <v>#VALUE!</v>
      </c>
      <c r="B79" s="9" t="e">
        <f>+EmpresasTable[[#This Row],[Razón social]]</f>
        <v>#VALUE!</v>
      </c>
      <c r="C79" s="9" t="e">
        <f>+FamiliaTable[[#This Row],[Nombre completo]]</f>
        <v>#VALUE!</v>
      </c>
      <c r="D79" s="9"/>
      <c r="E79" s="9"/>
      <c r="F79" s="17"/>
      <c r="G79" s="9"/>
      <c r="H79" s="9"/>
      <c r="I79" s="19">
        <f>+AccionistasTable[[#This Row],[Número de acciones/cuotas]]*10000</f>
        <v>0</v>
      </c>
      <c r="J79" s="9" t="e">
        <f>+AccionistasTable[[#This Row],[Accionista]]</f>
        <v>#VALUE!</v>
      </c>
      <c r="K79" s="9"/>
      <c r="L79" s="9"/>
      <c r="M79" s="9"/>
      <c r="N79" s="9"/>
      <c r="O79" s="9"/>
      <c r="P79" s="19">
        <f>+$S$9*AccionistasTable[[#This Row],[Porcentaje]]</f>
        <v>0</v>
      </c>
      <c r="Q79" s="10"/>
    </row>
    <row r="80" spans="1:17">
      <c r="A80" s="8" t="e">
        <f t="shared" si="2"/>
        <v>#VALUE!</v>
      </c>
      <c r="B80" s="9" t="e">
        <f>+EmpresasTable[[#This Row],[Razón social]]</f>
        <v>#VALUE!</v>
      </c>
      <c r="C80" s="9" t="e">
        <f>+FamiliaTable[[#This Row],[Nombre completo]]</f>
        <v>#VALUE!</v>
      </c>
      <c r="D80" s="9"/>
      <c r="E80" s="9"/>
      <c r="F80" s="17"/>
      <c r="G80" s="9"/>
      <c r="H80" s="9"/>
      <c r="I80" s="19">
        <f>+AccionistasTable[[#This Row],[Número de acciones/cuotas]]*10000</f>
        <v>0</v>
      </c>
      <c r="J80" s="9" t="e">
        <f>+AccionistasTable[[#This Row],[Accionista]]</f>
        <v>#VALUE!</v>
      </c>
      <c r="K80" s="9"/>
      <c r="L80" s="9"/>
      <c r="M80" s="9"/>
      <c r="N80" s="9"/>
      <c r="O80" s="9"/>
      <c r="P80" s="19">
        <f>+$S$9*AccionistasTable[[#This Row],[Porcentaje]]</f>
        <v>0</v>
      </c>
      <c r="Q80" s="10"/>
    </row>
    <row r="81" spans="1:17">
      <c r="A81" s="8" t="e">
        <f t="shared" si="2"/>
        <v>#VALUE!</v>
      </c>
      <c r="B81" s="9" t="e">
        <f>+EmpresasTable[[#This Row],[Razón social]]</f>
        <v>#VALUE!</v>
      </c>
      <c r="C81" s="9" t="e">
        <f>+FamiliaTable[[#This Row],[Nombre completo]]</f>
        <v>#VALUE!</v>
      </c>
      <c r="D81" s="9"/>
      <c r="E81" s="9"/>
      <c r="F81" s="17"/>
      <c r="G81" s="9"/>
      <c r="H81" s="9"/>
      <c r="I81" s="19">
        <f>+AccionistasTable[[#This Row],[Número de acciones/cuotas]]*10000</f>
        <v>0</v>
      </c>
      <c r="J81" s="9" t="e">
        <f>+AccionistasTable[[#This Row],[Accionista]]</f>
        <v>#VALUE!</v>
      </c>
      <c r="K81" s="9"/>
      <c r="L81" s="9"/>
      <c r="M81" s="9"/>
      <c r="N81" s="9"/>
      <c r="O81" s="9"/>
      <c r="P81" s="19">
        <f>+$S$9*AccionistasTable[[#This Row],[Porcentaje]]</f>
        <v>0</v>
      </c>
      <c r="Q81" s="10"/>
    </row>
    <row r="82" spans="1:17">
      <c r="A82" s="8" t="e">
        <f t="shared" si="2"/>
        <v>#VALUE!</v>
      </c>
      <c r="B82" s="9" t="e">
        <f>+EmpresasTable[[#This Row],[Razón social]]</f>
        <v>#VALUE!</v>
      </c>
      <c r="C82" s="9" t="e">
        <f>+FamiliaTable[[#This Row],[Nombre completo]]</f>
        <v>#VALUE!</v>
      </c>
      <c r="D82" s="9"/>
      <c r="E82" s="9"/>
      <c r="F82" s="17"/>
      <c r="G82" s="9"/>
      <c r="H82" s="9"/>
      <c r="I82" s="19">
        <f>+AccionistasTable[[#This Row],[Número de acciones/cuotas]]*10000</f>
        <v>0</v>
      </c>
      <c r="J82" s="9" t="e">
        <f>+AccionistasTable[[#This Row],[Accionista]]</f>
        <v>#VALUE!</v>
      </c>
      <c r="K82" s="9"/>
      <c r="L82" s="9"/>
      <c r="M82" s="9"/>
      <c r="N82" s="9"/>
      <c r="O82" s="9"/>
      <c r="P82" s="19">
        <f>+$S$9*AccionistasTable[[#This Row],[Porcentaje]]</f>
        <v>0</v>
      </c>
      <c r="Q82" s="10"/>
    </row>
    <row r="83" spans="1:17">
      <c r="A83" s="8" t="e">
        <f t="shared" si="2"/>
        <v>#VALUE!</v>
      </c>
      <c r="B83" s="9" t="e">
        <f>+EmpresasTable[[#This Row],[Razón social]]</f>
        <v>#VALUE!</v>
      </c>
      <c r="C83" s="9" t="e">
        <f>+FamiliaTable[[#This Row],[Nombre completo]]</f>
        <v>#VALUE!</v>
      </c>
      <c r="D83" s="9"/>
      <c r="E83" s="9"/>
      <c r="F83" s="17"/>
      <c r="G83" s="9"/>
      <c r="H83" s="9"/>
      <c r="I83" s="19">
        <f>+AccionistasTable[[#This Row],[Número de acciones/cuotas]]*10000</f>
        <v>0</v>
      </c>
      <c r="J83" s="9" t="e">
        <f>+AccionistasTable[[#This Row],[Accionista]]</f>
        <v>#VALUE!</v>
      </c>
      <c r="K83" s="9"/>
      <c r="L83" s="9"/>
      <c r="M83" s="9"/>
      <c r="N83" s="9"/>
      <c r="O83" s="9"/>
      <c r="P83" s="19">
        <f>+$S$9*AccionistasTable[[#This Row],[Porcentaje]]</f>
        <v>0</v>
      </c>
      <c r="Q83" s="10"/>
    </row>
    <row r="84" spans="1:17">
      <c r="A84" s="8" t="e">
        <f t="shared" si="2"/>
        <v>#VALUE!</v>
      </c>
      <c r="B84" s="9" t="e">
        <f>+EmpresasTable[[#This Row],[Razón social]]</f>
        <v>#VALUE!</v>
      </c>
      <c r="C84" s="9" t="e">
        <f>+FamiliaTable[[#This Row],[Nombre completo]]</f>
        <v>#VALUE!</v>
      </c>
      <c r="D84" s="9"/>
      <c r="E84" s="9"/>
      <c r="F84" s="17"/>
      <c r="G84" s="9"/>
      <c r="H84" s="9"/>
      <c r="I84" s="19">
        <f>+AccionistasTable[[#This Row],[Número de acciones/cuotas]]*10000</f>
        <v>0</v>
      </c>
      <c r="J84" s="9" t="e">
        <f>+AccionistasTable[[#This Row],[Accionista]]</f>
        <v>#VALUE!</v>
      </c>
      <c r="K84" s="9"/>
      <c r="L84" s="9"/>
      <c r="M84" s="9"/>
      <c r="N84" s="9"/>
      <c r="O84" s="9"/>
      <c r="P84" s="19">
        <f>+$S$9*AccionistasTable[[#This Row],[Porcentaje]]</f>
        <v>0</v>
      </c>
      <c r="Q84" s="10"/>
    </row>
    <row r="85" spans="1:17">
      <c r="A85" s="8" t="e">
        <f t="shared" si="2"/>
        <v>#VALUE!</v>
      </c>
      <c r="B85" s="9" t="e">
        <f>+EmpresasTable[[#This Row],[Razón social]]</f>
        <v>#VALUE!</v>
      </c>
      <c r="C85" s="9" t="e">
        <f>+FamiliaTable[[#This Row],[Nombre completo]]</f>
        <v>#VALUE!</v>
      </c>
      <c r="D85" s="9"/>
      <c r="E85" s="9"/>
      <c r="F85" s="17"/>
      <c r="G85" s="9"/>
      <c r="H85" s="9"/>
      <c r="I85" s="19">
        <f>+AccionistasTable[[#This Row],[Número de acciones/cuotas]]*10000</f>
        <v>0</v>
      </c>
      <c r="J85" s="9" t="e">
        <f>+AccionistasTable[[#This Row],[Accionista]]</f>
        <v>#VALUE!</v>
      </c>
      <c r="K85" s="9"/>
      <c r="L85" s="9"/>
      <c r="M85" s="9"/>
      <c r="N85" s="9"/>
      <c r="O85" s="9"/>
      <c r="P85" s="19">
        <f>+$S$9*AccionistasTable[[#This Row],[Porcentaje]]</f>
        <v>0</v>
      </c>
      <c r="Q85" s="10"/>
    </row>
    <row r="86" spans="1:17">
      <c r="A86" s="8" t="e">
        <f t="shared" si="2"/>
        <v>#VALUE!</v>
      </c>
      <c r="B86" s="9" t="e">
        <f>+EmpresasTable[[#This Row],[Razón social]]</f>
        <v>#VALUE!</v>
      </c>
      <c r="C86" s="9" t="e">
        <f>+FamiliaTable[[#This Row],[Nombre completo]]</f>
        <v>#VALUE!</v>
      </c>
      <c r="D86" s="9"/>
      <c r="E86" s="9"/>
      <c r="F86" s="17"/>
      <c r="G86" s="9"/>
      <c r="H86" s="9"/>
      <c r="I86" s="19">
        <f>+AccionistasTable[[#This Row],[Número de acciones/cuotas]]*10000</f>
        <v>0</v>
      </c>
      <c r="J86" s="9" t="e">
        <f>+AccionistasTable[[#This Row],[Accionista]]</f>
        <v>#VALUE!</v>
      </c>
      <c r="K86" s="9"/>
      <c r="L86" s="9"/>
      <c r="M86" s="9"/>
      <c r="N86" s="9"/>
      <c r="O86" s="9"/>
      <c r="P86" s="19">
        <f>+$S$9*AccionistasTable[[#This Row],[Porcentaje]]</f>
        <v>0</v>
      </c>
      <c r="Q86" s="10"/>
    </row>
    <row r="87" spans="1:17">
      <c r="A87" s="8" t="e">
        <f t="shared" si="2"/>
        <v>#VALUE!</v>
      </c>
      <c r="B87" s="9" t="e">
        <f>+EmpresasTable[[#This Row],[Razón social]]</f>
        <v>#VALUE!</v>
      </c>
      <c r="C87" s="9" t="e">
        <f>+FamiliaTable[[#This Row],[Nombre completo]]</f>
        <v>#VALUE!</v>
      </c>
      <c r="D87" s="9"/>
      <c r="E87" s="9"/>
      <c r="F87" s="17"/>
      <c r="G87" s="9"/>
      <c r="H87" s="9"/>
      <c r="I87" s="19">
        <f>+AccionistasTable[[#This Row],[Número de acciones/cuotas]]*10000</f>
        <v>0</v>
      </c>
      <c r="J87" s="9" t="e">
        <f>+AccionistasTable[[#This Row],[Accionista]]</f>
        <v>#VALUE!</v>
      </c>
      <c r="K87" s="9"/>
      <c r="L87" s="9"/>
      <c r="M87" s="9"/>
      <c r="N87" s="9"/>
      <c r="O87" s="9"/>
      <c r="P87" s="19">
        <f>+$S$9*AccionistasTable[[#This Row],[Porcentaje]]</f>
        <v>0</v>
      </c>
      <c r="Q87" s="10"/>
    </row>
    <row r="88" spans="1:17">
      <c r="A88" s="8" t="e">
        <f t="shared" si="2"/>
        <v>#VALUE!</v>
      </c>
      <c r="B88" s="9" t="e">
        <f>+EmpresasTable[[#This Row],[Razón social]]</f>
        <v>#VALUE!</v>
      </c>
      <c r="C88" s="9" t="e">
        <f>+FamiliaTable[[#This Row],[Nombre completo]]</f>
        <v>#VALUE!</v>
      </c>
      <c r="D88" s="9"/>
      <c r="E88" s="9"/>
      <c r="F88" s="17"/>
      <c r="G88" s="9"/>
      <c r="H88" s="9"/>
      <c r="I88" s="19">
        <f>+AccionistasTable[[#This Row],[Número de acciones/cuotas]]*10000</f>
        <v>0</v>
      </c>
      <c r="J88" s="9" t="e">
        <f>+AccionistasTable[[#This Row],[Accionista]]</f>
        <v>#VALUE!</v>
      </c>
      <c r="K88" s="9"/>
      <c r="L88" s="9"/>
      <c r="M88" s="9"/>
      <c r="N88" s="9"/>
      <c r="O88" s="9"/>
      <c r="P88" s="19">
        <f>+$S$9*AccionistasTable[[#This Row],[Porcentaje]]</f>
        <v>0</v>
      </c>
      <c r="Q88" s="10"/>
    </row>
    <row r="89" spans="1:17">
      <c r="A89" s="8" t="e">
        <f t="shared" si="2"/>
        <v>#VALUE!</v>
      </c>
      <c r="B89" s="9" t="e">
        <f>+EmpresasTable[[#This Row],[Razón social]]</f>
        <v>#VALUE!</v>
      </c>
      <c r="C89" s="9" t="e">
        <f>+FamiliaTable[[#This Row],[Nombre completo]]</f>
        <v>#VALUE!</v>
      </c>
      <c r="D89" s="9"/>
      <c r="E89" s="9"/>
      <c r="F89" s="17"/>
      <c r="G89" s="9"/>
      <c r="H89" s="9"/>
      <c r="I89" s="19">
        <f>+AccionistasTable[[#This Row],[Número de acciones/cuotas]]*10000</f>
        <v>0</v>
      </c>
      <c r="J89" s="9" t="e">
        <f>+AccionistasTable[[#This Row],[Accionista]]</f>
        <v>#VALUE!</v>
      </c>
      <c r="K89" s="9"/>
      <c r="L89" s="9"/>
      <c r="M89" s="9"/>
      <c r="N89" s="9"/>
      <c r="O89" s="9"/>
      <c r="P89" s="19">
        <f>+$S$9*AccionistasTable[[#This Row],[Porcentaje]]</f>
        <v>0</v>
      </c>
      <c r="Q89" s="10"/>
    </row>
    <row r="90" spans="1:17">
      <c r="A90" s="8" t="e">
        <f t="shared" si="2"/>
        <v>#VALUE!</v>
      </c>
      <c r="B90" s="9" t="e">
        <f>+EmpresasTable[[#This Row],[Razón social]]</f>
        <v>#VALUE!</v>
      </c>
      <c r="C90" s="9" t="e">
        <f>+FamiliaTable[[#This Row],[Nombre completo]]</f>
        <v>#VALUE!</v>
      </c>
      <c r="D90" s="9"/>
      <c r="E90" s="9"/>
      <c r="F90" s="17"/>
      <c r="G90" s="9"/>
      <c r="H90" s="9"/>
      <c r="I90" s="19">
        <f>+AccionistasTable[[#This Row],[Número de acciones/cuotas]]*10000</f>
        <v>0</v>
      </c>
      <c r="J90" s="9" t="e">
        <f>+AccionistasTable[[#This Row],[Accionista]]</f>
        <v>#VALUE!</v>
      </c>
      <c r="K90" s="9"/>
      <c r="L90" s="9"/>
      <c r="M90" s="9"/>
      <c r="N90" s="9"/>
      <c r="O90" s="9"/>
      <c r="P90" s="19">
        <f>+$S$9*AccionistasTable[[#This Row],[Porcentaje]]</f>
        <v>0</v>
      </c>
      <c r="Q90" s="10"/>
    </row>
    <row r="91" spans="1:17">
      <c r="A91" s="8" t="e">
        <f t="shared" si="2"/>
        <v>#VALUE!</v>
      </c>
      <c r="B91" s="9" t="e">
        <f>+EmpresasTable[[#This Row],[Razón social]]</f>
        <v>#VALUE!</v>
      </c>
      <c r="C91" s="9" t="e">
        <f>+FamiliaTable[[#This Row],[Nombre completo]]</f>
        <v>#VALUE!</v>
      </c>
      <c r="D91" s="9"/>
      <c r="E91" s="9"/>
      <c r="F91" s="17"/>
      <c r="G91" s="9"/>
      <c r="H91" s="9"/>
      <c r="I91" s="19">
        <f>+AccionistasTable[[#This Row],[Número de acciones/cuotas]]*10000</f>
        <v>0</v>
      </c>
      <c r="J91" s="9" t="e">
        <f>+AccionistasTable[[#This Row],[Accionista]]</f>
        <v>#VALUE!</v>
      </c>
      <c r="K91" s="9"/>
      <c r="L91" s="9"/>
      <c r="M91" s="9"/>
      <c r="N91" s="9"/>
      <c r="O91" s="9"/>
      <c r="P91" s="19">
        <f>+$S$9*AccionistasTable[[#This Row],[Porcentaje]]</f>
        <v>0</v>
      </c>
      <c r="Q91" s="10"/>
    </row>
    <row r="92" spans="1:17">
      <c r="A92" s="8" t="e">
        <f t="shared" si="2"/>
        <v>#VALUE!</v>
      </c>
      <c r="B92" s="9" t="e">
        <f>+EmpresasTable[[#This Row],[Razón social]]</f>
        <v>#VALUE!</v>
      </c>
      <c r="C92" s="9" t="e">
        <f>+FamiliaTable[[#This Row],[Nombre completo]]</f>
        <v>#VALUE!</v>
      </c>
      <c r="D92" s="9"/>
      <c r="E92" s="9"/>
      <c r="F92" s="17"/>
      <c r="G92" s="9"/>
      <c r="H92" s="9"/>
      <c r="I92" s="19">
        <f>+AccionistasTable[[#This Row],[Número de acciones/cuotas]]*10000</f>
        <v>0</v>
      </c>
      <c r="J92" s="9" t="e">
        <f>+AccionistasTable[[#This Row],[Accionista]]</f>
        <v>#VALUE!</v>
      </c>
      <c r="K92" s="9"/>
      <c r="L92" s="9"/>
      <c r="M92" s="9"/>
      <c r="N92" s="9"/>
      <c r="O92" s="9"/>
      <c r="P92" s="19">
        <f>+$S$9*AccionistasTable[[#This Row],[Porcentaje]]</f>
        <v>0</v>
      </c>
      <c r="Q92" s="10"/>
    </row>
    <row r="93" spans="1:17">
      <c r="A93" s="8" t="e">
        <f t="shared" si="2"/>
        <v>#VALUE!</v>
      </c>
      <c r="B93" s="9" t="e">
        <f>+EmpresasTable[[#This Row],[Razón social]]</f>
        <v>#VALUE!</v>
      </c>
      <c r="C93" s="9" t="e">
        <f>+FamiliaTable[[#This Row],[Nombre completo]]</f>
        <v>#VALUE!</v>
      </c>
      <c r="D93" s="9"/>
      <c r="E93" s="9"/>
      <c r="F93" s="17"/>
      <c r="G93" s="9"/>
      <c r="H93" s="9"/>
      <c r="I93" s="19">
        <f>+AccionistasTable[[#This Row],[Número de acciones/cuotas]]*10000</f>
        <v>0</v>
      </c>
      <c r="J93" s="9" t="e">
        <f>+AccionistasTable[[#This Row],[Accionista]]</f>
        <v>#VALUE!</v>
      </c>
      <c r="K93" s="9"/>
      <c r="L93" s="9"/>
      <c r="M93" s="9"/>
      <c r="N93" s="9"/>
      <c r="O93" s="9"/>
      <c r="P93" s="19">
        <f>+$S$9*AccionistasTable[[#This Row],[Porcentaje]]</f>
        <v>0</v>
      </c>
      <c r="Q93" s="10"/>
    </row>
    <row r="94" spans="1:17">
      <c r="A94" s="8" t="e">
        <f t="shared" si="2"/>
        <v>#VALUE!</v>
      </c>
      <c r="B94" s="9" t="e">
        <f>+EmpresasTable[[#This Row],[Razón social]]</f>
        <v>#VALUE!</v>
      </c>
      <c r="C94" s="9" t="e">
        <f>+FamiliaTable[[#This Row],[Nombre completo]]</f>
        <v>#VALUE!</v>
      </c>
      <c r="D94" s="9"/>
      <c r="E94" s="9"/>
      <c r="F94" s="17"/>
      <c r="G94" s="9"/>
      <c r="H94" s="9"/>
      <c r="I94" s="19">
        <f>+AccionistasTable[[#This Row],[Número de acciones/cuotas]]*10000</f>
        <v>0</v>
      </c>
      <c r="J94" s="9" t="e">
        <f>+AccionistasTable[[#This Row],[Accionista]]</f>
        <v>#VALUE!</v>
      </c>
      <c r="K94" s="9"/>
      <c r="L94" s="9"/>
      <c r="M94" s="9"/>
      <c r="N94" s="9"/>
      <c r="O94" s="9"/>
      <c r="P94" s="19">
        <f>+$S$9*AccionistasTable[[#This Row],[Porcentaje]]</f>
        <v>0</v>
      </c>
      <c r="Q94" s="10"/>
    </row>
    <row r="95" spans="1:17">
      <c r="A95" s="8" t="e">
        <f t="shared" si="2"/>
        <v>#VALUE!</v>
      </c>
      <c r="B95" s="9" t="e">
        <f>+EmpresasTable[[#This Row],[Razón social]]</f>
        <v>#VALUE!</v>
      </c>
      <c r="C95" s="9" t="e">
        <f>+FamiliaTable[[#This Row],[Nombre completo]]</f>
        <v>#VALUE!</v>
      </c>
      <c r="D95" s="9"/>
      <c r="E95" s="9"/>
      <c r="F95" s="17"/>
      <c r="G95" s="9"/>
      <c r="H95" s="9"/>
      <c r="I95" s="19">
        <f>+AccionistasTable[[#This Row],[Número de acciones/cuotas]]*10000</f>
        <v>0</v>
      </c>
      <c r="J95" s="9" t="e">
        <f>+AccionistasTable[[#This Row],[Accionista]]</f>
        <v>#VALUE!</v>
      </c>
      <c r="K95" s="9"/>
      <c r="L95" s="9"/>
      <c r="M95" s="9"/>
      <c r="N95" s="9"/>
      <c r="O95" s="9"/>
      <c r="P95" s="19">
        <f>+$S$9*AccionistasTable[[#This Row],[Porcentaje]]</f>
        <v>0</v>
      </c>
      <c r="Q95" s="10"/>
    </row>
    <row r="96" spans="1:17">
      <c r="A96" s="8" t="e">
        <f t="shared" si="2"/>
        <v>#VALUE!</v>
      </c>
      <c r="B96" s="9" t="e">
        <f>+EmpresasTable[[#This Row],[Razón social]]</f>
        <v>#VALUE!</v>
      </c>
      <c r="C96" s="9" t="e">
        <f>+FamiliaTable[[#This Row],[Nombre completo]]</f>
        <v>#VALUE!</v>
      </c>
      <c r="D96" s="9"/>
      <c r="E96" s="9"/>
      <c r="F96" s="17"/>
      <c r="G96" s="9"/>
      <c r="H96" s="9"/>
      <c r="I96" s="19">
        <f>+AccionistasTable[[#This Row],[Número de acciones/cuotas]]*10000</f>
        <v>0</v>
      </c>
      <c r="J96" s="9" t="e">
        <f>+AccionistasTable[[#This Row],[Accionista]]</f>
        <v>#VALUE!</v>
      </c>
      <c r="K96" s="9"/>
      <c r="L96" s="9"/>
      <c r="M96" s="9"/>
      <c r="N96" s="9"/>
      <c r="O96" s="9"/>
      <c r="P96" s="19">
        <f>+$S$9*AccionistasTable[[#This Row],[Porcentaje]]</f>
        <v>0</v>
      </c>
      <c r="Q96" s="10"/>
    </row>
    <row r="97" spans="1:17">
      <c r="A97" s="8" t="e">
        <f t="shared" si="2"/>
        <v>#VALUE!</v>
      </c>
      <c r="B97" s="9" t="e">
        <f>+EmpresasTable[[#This Row],[Razón social]]</f>
        <v>#VALUE!</v>
      </c>
      <c r="C97" s="9" t="e">
        <f>+FamiliaTable[[#This Row],[Nombre completo]]</f>
        <v>#VALUE!</v>
      </c>
      <c r="D97" s="9"/>
      <c r="E97" s="9"/>
      <c r="F97" s="17"/>
      <c r="G97" s="9"/>
      <c r="H97" s="9"/>
      <c r="I97" s="19">
        <f>+AccionistasTable[[#This Row],[Número de acciones/cuotas]]*10000</f>
        <v>0</v>
      </c>
      <c r="J97" s="9" t="e">
        <f>+AccionistasTable[[#This Row],[Accionista]]</f>
        <v>#VALUE!</v>
      </c>
      <c r="K97" s="9"/>
      <c r="L97" s="9"/>
      <c r="M97" s="9"/>
      <c r="N97" s="9"/>
      <c r="O97" s="9"/>
      <c r="P97" s="19">
        <f>+$S$9*AccionistasTable[[#This Row],[Porcentaje]]</f>
        <v>0</v>
      </c>
      <c r="Q97" s="10"/>
    </row>
    <row r="98" spans="1:17">
      <c r="A98" s="8" t="e">
        <f t="shared" si="2"/>
        <v>#VALUE!</v>
      </c>
      <c r="B98" s="9" t="e">
        <f>+EmpresasTable[[#This Row],[Razón social]]</f>
        <v>#VALUE!</v>
      </c>
      <c r="C98" s="9" t="e">
        <f>+FamiliaTable[[#This Row],[Nombre completo]]</f>
        <v>#VALUE!</v>
      </c>
      <c r="D98" s="9"/>
      <c r="E98" s="9"/>
      <c r="F98" s="17"/>
      <c r="G98" s="9"/>
      <c r="H98" s="9"/>
      <c r="I98" s="19">
        <f>+AccionistasTable[[#This Row],[Número de acciones/cuotas]]*10000</f>
        <v>0</v>
      </c>
      <c r="J98" s="9" t="e">
        <f>+AccionistasTable[[#This Row],[Accionista]]</f>
        <v>#VALUE!</v>
      </c>
      <c r="K98" s="9"/>
      <c r="L98" s="9"/>
      <c r="M98" s="9"/>
      <c r="N98" s="9"/>
      <c r="O98" s="9"/>
      <c r="P98" s="19">
        <f>+$S$9*AccionistasTable[[#This Row],[Porcentaje]]</f>
        <v>0</v>
      </c>
      <c r="Q98" s="10"/>
    </row>
    <row r="99" spans="1:17">
      <c r="A99" s="8" t="e">
        <f t="shared" si="2"/>
        <v>#VALUE!</v>
      </c>
      <c r="B99" s="9" t="e">
        <f>+EmpresasTable[[#This Row],[Razón social]]</f>
        <v>#VALUE!</v>
      </c>
      <c r="C99" s="9" t="e">
        <f>+FamiliaTable[[#This Row],[Nombre completo]]</f>
        <v>#VALUE!</v>
      </c>
      <c r="D99" s="9"/>
      <c r="E99" s="9"/>
      <c r="F99" s="17"/>
      <c r="G99" s="9"/>
      <c r="H99" s="9"/>
      <c r="I99" s="19">
        <f>+AccionistasTable[[#This Row],[Número de acciones/cuotas]]*10000</f>
        <v>0</v>
      </c>
      <c r="J99" s="9" t="e">
        <f>+AccionistasTable[[#This Row],[Accionista]]</f>
        <v>#VALUE!</v>
      </c>
      <c r="K99" s="9"/>
      <c r="L99" s="9"/>
      <c r="M99" s="9"/>
      <c r="N99" s="9"/>
      <c r="O99" s="9"/>
      <c r="P99" s="19">
        <f>+$S$9*AccionistasTable[[#This Row],[Porcentaje]]</f>
        <v>0</v>
      </c>
      <c r="Q99" s="10"/>
    </row>
    <row r="100" spans="1:17">
      <c r="A100" s="8" t="e">
        <f t="shared" si="2"/>
        <v>#VALUE!</v>
      </c>
      <c r="B100" s="9" t="e">
        <f>+EmpresasTable[[#This Row],[Razón social]]</f>
        <v>#VALUE!</v>
      </c>
      <c r="C100" s="9" t="e">
        <f>+FamiliaTable[[#This Row],[Nombre completo]]</f>
        <v>#VALUE!</v>
      </c>
      <c r="D100" s="9"/>
      <c r="E100" s="9"/>
      <c r="F100" s="17"/>
      <c r="G100" s="9"/>
      <c r="H100" s="9"/>
      <c r="I100" s="19">
        <f>+AccionistasTable[[#This Row],[Número de acciones/cuotas]]*10000</f>
        <v>0</v>
      </c>
      <c r="J100" s="9" t="e">
        <f>+AccionistasTable[[#This Row],[Accionista]]</f>
        <v>#VALUE!</v>
      </c>
      <c r="K100" s="9"/>
      <c r="L100" s="9"/>
      <c r="M100" s="9"/>
      <c r="N100" s="9"/>
      <c r="O100" s="9"/>
      <c r="P100" s="19">
        <f>+$S$9*AccionistasTable[[#This Row],[Porcentaje]]</f>
        <v>0</v>
      </c>
      <c r="Q100" s="10"/>
    </row>
    <row r="101" spans="1:17">
      <c r="A101" s="8" t="e">
        <f t="shared" ref="A101:A104" si="3">IF(B101="","","ACC-"&amp;TEXT(ROW()-4,"000"))</f>
        <v>#VALUE!</v>
      </c>
      <c r="B101" s="9" t="e">
        <f>+EmpresasTable[[#This Row],[Razón social]]</f>
        <v>#VALUE!</v>
      </c>
      <c r="C101" s="9" t="e">
        <f>+FamiliaTable[[#This Row],[Nombre completo]]</f>
        <v>#VALUE!</v>
      </c>
      <c r="D101" s="9"/>
      <c r="E101" s="9"/>
      <c r="F101" s="17"/>
      <c r="G101" s="9"/>
      <c r="H101" s="9"/>
      <c r="I101" s="19">
        <f>+AccionistasTable[[#This Row],[Número de acciones/cuotas]]*10000</f>
        <v>0</v>
      </c>
      <c r="J101" s="9" t="e">
        <f>+AccionistasTable[[#This Row],[Accionista]]</f>
        <v>#VALUE!</v>
      </c>
      <c r="K101" s="9"/>
      <c r="L101" s="9"/>
      <c r="M101" s="9"/>
      <c r="N101" s="9"/>
      <c r="O101" s="9"/>
      <c r="P101" s="19">
        <f>+$S$9*AccionistasTable[[#This Row],[Porcentaje]]</f>
        <v>0</v>
      </c>
      <c r="Q101" s="10"/>
    </row>
    <row r="102" spans="1:17">
      <c r="A102" s="8" t="e">
        <f t="shared" si="3"/>
        <v>#VALUE!</v>
      </c>
      <c r="B102" s="9" t="e">
        <f>+EmpresasTable[[#This Row],[Razón social]]</f>
        <v>#VALUE!</v>
      </c>
      <c r="C102" s="9" t="e">
        <f>+FamiliaTable[[#This Row],[Nombre completo]]</f>
        <v>#VALUE!</v>
      </c>
      <c r="D102" s="9"/>
      <c r="E102" s="9"/>
      <c r="F102" s="17"/>
      <c r="G102" s="9"/>
      <c r="H102" s="9"/>
      <c r="I102" s="19">
        <f>+AccionistasTable[[#This Row],[Número de acciones/cuotas]]*10000</f>
        <v>0</v>
      </c>
      <c r="J102" s="9" t="e">
        <f>+AccionistasTable[[#This Row],[Accionista]]</f>
        <v>#VALUE!</v>
      </c>
      <c r="K102" s="9"/>
      <c r="L102" s="9"/>
      <c r="M102" s="9"/>
      <c r="N102" s="9"/>
      <c r="O102" s="9"/>
      <c r="P102" s="19">
        <f>+$S$9*AccionistasTable[[#This Row],[Porcentaje]]</f>
        <v>0</v>
      </c>
      <c r="Q102" s="10"/>
    </row>
    <row r="103" spans="1:17">
      <c r="A103" s="8" t="e">
        <f t="shared" si="3"/>
        <v>#VALUE!</v>
      </c>
      <c r="B103" s="9" t="e">
        <f>+EmpresasTable[[#This Row],[Razón social]]</f>
        <v>#VALUE!</v>
      </c>
      <c r="C103" s="9" t="e">
        <f>+FamiliaTable[[#This Row],[Nombre completo]]</f>
        <v>#VALUE!</v>
      </c>
      <c r="D103" s="9"/>
      <c r="E103" s="9"/>
      <c r="F103" s="17"/>
      <c r="G103" s="9"/>
      <c r="H103" s="9"/>
      <c r="I103" s="19">
        <f>+AccionistasTable[[#This Row],[Número de acciones/cuotas]]*10000</f>
        <v>0</v>
      </c>
      <c r="J103" s="9" t="e">
        <f>+AccionistasTable[[#This Row],[Accionista]]</f>
        <v>#VALUE!</v>
      </c>
      <c r="K103" s="9"/>
      <c r="L103" s="9"/>
      <c r="M103" s="9"/>
      <c r="N103" s="9"/>
      <c r="O103" s="9"/>
      <c r="P103" s="19">
        <f>+$S$9*AccionistasTable[[#This Row],[Porcentaje]]</f>
        <v>0</v>
      </c>
      <c r="Q103" s="10"/>
    </row>
    <row r="104" spans="1:17">
      <c r="A104" s="11" t="e">
        <f t="shared" si="3"/>
        <v>#VALUE!</v>
      </c>
      <c r="B104" s="12" t="e">
        <f>+EmpresasTable[[#This Row],[Razón social]]</f>
        <v>#VALUE!</v>
      </c>
      <c r="C104" s="12" t="e">
        <f>+FamiliaTable[[#This Row],[Nombre completo]]</f>
        <v>#VALUE!</v>
      </c>
      <c r="D104" s="12"/>
      <c r="E104" s="12"/>
      <c r="F104" s="18"/>
      <c r="G104" s="12"/>
      <c r="H104" s="12"/>
      <c r="I104" s="20">
        <f>+AccionistasTable[[#This Row],[Número de acciones/cuotas]]*10000</f>
        <v>0</v>
      </c>
      <c r="J104" s="12" t="e">
        <f>+AccionistasTable[[#This Row],[Accionista]]</f>
        <v>#VALUE!</v>
      </c>
      <c r="K104" s="12"/>
      <c r="L104" s="12"/>
      <c r="M104" s="12"/>
      <c r="N104" s="12"/>
      <c r="O104" s="12"/>
      <c r="P104" s="20">
        <f>+$S$9*AccionistasTable[[#This Row],[Porcentaje]]</f>
        <v>0</v>
      </c>
      <c r="Q104" s="13"/>
    </row>
  </sheetData>
  <mergeCells count="2">
    <mergeCell ref="A1:Q2"/>
    <mergeCell ref="A3:Q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Listas!$D$2:$D$8</xm:f>
          </x14:formula1>
          <xm:sqref>D5:D104</xm:sqref>
        </x14:dataValidation>
        <x14:dataValidation type="list" xr:uid="{00000000-0002-0000-0400-000001000000}">
          <x14:formula1>
            <xm:f>Listas!$E$2:$E$8</xm:f>
          </x14:formula1>
          <xm:sqref>H5:H104</xm:sqref>
        </x14:dataValidation>
        <x14:dataValidation type="list" xr:uid="{00000000-0002-0000-0400-000002000000}">
          <x14:formula1>
            <xm:f>Listas!$B$2:$B$8</xm:f>
          </x14:formula1>
          <xm:sqref>K5:K104</xm:sqref>
        </x14:dataValidation>
        <x14:dataValidation type="list" xr:uid="{00000000-0002-0000-0400-000003000000}">
          <x14:formula1>
            <xm:f>Listas!$A$2:$A$5</xm:f>
          </x14:formula1>
          <xm:sqref>L5:O104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301"/>
  <sheetViews>
    <sheetView topLeftCell="C7" workbookViewId="0">
      <selection activeCell="G6" sqref="G6"/>
    </sheetView>
  </sheetViews>
  <sheetFormatPr baseColWidth="10" defaultColWidth="8.6640625" defaultRowHeight="14"/>
  <cols>
    <col min="1" max="1" width="29" customWidth="1"/>
    <col min="2" max="2" width="46" customWidth="1"/>
    <col min="3" max="4" width="24" customWidth="1"/>
    <col min="5" max="5" width="38" customWidth="1"/>
    <col min="6" max="7" width="19" customWidth="1"/>
    <col min="8" max="10" width="26" customWidth="1"/>
    <col min="11" max="11" width="20" customWidth="1"/>
    <col min="12" max="12" width="13" customWidth="1"/>
    <col min="13" max="13" width="28" customWidth="1"/>
    <col min="14" max="14" width="17" customWidth="1"/>
    <col min="15" max="15" width="16" customWidth="1"/>
    <col min="16" max="16" width="22" customWidth="1"/>
    <col min="17" max="17" width="17" customWidth="1"/>
    <col min="18" max="18" width="11" customWidth="1"/>
    <col min="19" max="20" width="28" customWidth="1"/>
    <col min="21" max="23" width="22" customWidth="1"/>
    <col min="24" max="25" width="24" customWidth="1"/>
    <col min="26" max="26" width="28" customWidth="1"/>
    <col min="27" max="29" width="18" customWidth="1"/>
    <col min="30" max="30" width="17" customWidth="1"/>
    <col min="31" max="32" width="24" customWidth="1"/>
    <col min="33" max="37" width="18" customWidth="1"/>
    <col min="38" max="38" width="16" customWidth="1"/>
    <col min="39" max="41" width="17" customWidth="1"/>
    <col min="42" max="43" width="18" customWidth="1"/>
    <col min="44" max="44" width="16" customWidth="1"/>
    <col min="45" max="46" width="25" customWidth="1"/>
    <col min="47" max="47" width="15" customWidth="1"/>
    <col min="48" max="48" width="25" customWidth="1"/>
    <col min="49" max="50" width="18" customWidth="1"/>
    <col min="51" max="51" width="30" customWidth="1"/>
    <col min="52" max="52" width="24" customWidth="1"/>
    <col min="53" max="53" width="19" customWidth="1"/>
    <col min="54" max="55" width="31" customWidth="1"/>
    <col min="56" max="57" width="30" customWidth="1"/>
    <col min="58" max="60" width="17" customWidth="1"/>
    <col min="61" max="61" width="27" customWidth="1"/>
    <col min="62" max="62" width="38" customWidth="1"/>
    <col min="64" max="64" width="40" customWidth="1"/>
    <col min="65" max="65" width="38" customWidth="1"/>
    <col min="66" max="66" width="3" customWidth="1"/>
    <col min="67" max="67" width="42" customWidth="1"/>
  </cols>
  <sheetData>
    <row r="1" spans="1:67" ht="20" customHeight="1">
      <c r="A1" s="100" t="s">
        <v>1111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L1" s="75" t="s">
        <v>1112</v>
      </c>
      <c r="BM1" s="75" t="s">
        <v>1113</v>
      </c>
      <c r="BO1" s="75" t="s">
        <v>1114</v>
      </c>
    </row>
    <row r="2" spans="1:67" ht="20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L2" s="76" t="s">
        <v>1115</v>
      </c>
      <c r="BM2" s="76" t="s">
        <v>1116</v>
      </c>
      <c r="BO2" s="76" t="s">
        <v>1115</v>
      </c>
    </row>
    <row r="3" spans="1:67" ht="28" customHeight="1">
      <c r="A3" s="101" t="s">
        <v>1117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L3" s="76" t="s">
        <v>1115</v>
      </c>
      <c r="BM3" s="76" t="s">
        <v>1118</v>
      </c>
      <c r="BO3" s="76" t="s">
        <v>1119</v>
      </c>
    </row>
    <row r="4" spans="1:67" ht="16" customHeight="1">
      <c r="A4" s="102" t="s">
        <v>1120</v>
      </c>
      <c r="B4" s="102"/>
      <c r="C4" s="102"/>
      <c r="D4" s="102"/>
      <c r="E4" s="102"/>
      <c r="F4" s="102" t="s">
        <v>1121</v>
      </c>
      <c r="G4" s="102"/>
      <c r="H4" s="102"/>
      <c r="I4" s="102"/>
      <c r="J4" s="102"/>
      <c r="K4" s="102"/>
      <c r="L4" s="102"/>
      <c r="M4" s="102"/>
      <c r="N4" s="102"/>
      <c r="O4" s="102" t="s">
        <v>1122</v>
      </c>
      <c r="P4" s="102"/>
      <c r="Q4" s="102"/>
      <c r="R4" s="102"/>
      <c r="S4" s="102"/>
      <c r="T4" s="102"/>
      <c r="U4" s="102"/>
      <c r="V4" s="102"/>
      <c r="W4" s="102"/>
      <c r="X4" s="102" t="s">
        <v>1123</v>
      </c>
      <c r="Y4" s="102"/>
      <c r="Z4" s="102"/>
      <c r="AA4" s="102" t="s">
        <v>1124</v>
      </c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 t="s">
        <v>1125</v>
      </c>
      <c r="AN4" s="102"/>
      <c r="AO4" s="102"/>
      <c r="AP4" s="102" t="s">
        <v>1126</v>
      </c>
      <c r="AQ4" s="102"/>
      <c r="AR4" s="102"/>
      <c r="AS4" s="102"/>
      <c r="AT4" s="102"/>
      <c r="AU4" s="102" t="s">
        <v>1127</v>
      </c>
      <c r="AV4" s="102"/>
      <c r="AW4" s="102"/>
      <c r="AX4" s="102"/>
      <c r="AY4" s="102" t="s">
        <v>1128</v>
      </c>
      <c r="AZ4" s="102"/>
      <c r="BA4" s="102"/>
      <c r="BB4" s="102"/>
      <c r="BC4" s="102"/>
      <c r="BD4" s="102" t="s">
        <v>1129</v>
      </c>
      <c r="BE4" s="102"/>
      <c r="BF4" s="102" t="s">
        <v>1130</v>
      </c>
      <c r="BG4" s="102"/>
      <c r="BH4" s="102"/>
      <c r="BI4" s="102"/>
      <c r="BJ4" s="102"/>
      <c r="BL4" s="76" t="s">
        <v>1115</v>
      </c>
      <c r="BM4" s="76" t="s">
        <v>1131</v>
      </c>
      <c r="BO4" s="76" t="s">
        <v>1132</v>
      </c>
    </row>
    <row r="5" spans="1:67" ht="30.65" customHeight="1">
      <c r="A5" s="77" t="s">
        <v>1133</v>
      </c>
      <c r="B5" s="77" t="s">
        <v>1134</v>
      </c>
      <c r="C5" s="77" t="s">
        <v>1135</v>
      </c>
      <c r="D5" s="77" t="s">
        <v>1136</v>
      </c>
      <c r="E5" s="77" t="s">
        <v>1137</v>
      </c>
      <c r="F5" s="77" t="s">
        <v>1138</v>
      </c>
      <c r="G5" s="77" t="s">
        <v>1139</v>
      </c>
      <c r="H5" s="77" t="s">
        <v>1140</v>
      </c>
      <c r="I5" s="77" t="s">
        <v>1141</v>
      </c>
      <c r="J5" s="77" t="s">
        <v>167</v>
      </c>
      <c r="K5" s="77" t="s">
        <v>1142</v>
      </c>
      <c r="L5" s="77" t="s">
        <v>1143</v>
      </c>
      <c r="M5" s="77" t="s">
        <v>1144</v>
      </c>
      <c r="N5" s="77" t="s">
        <v>1145</v>
      </c>
      <c r="O5" s="77" t="s">
        <v>1146</v>
      </c>
      <c r="P5" s="77" t="s">
        <v>150</v>
      </c>
      <c r="Q5" s="77" t="s">
        <v>1147</v>
      </c>
      <c r="R5" s="77" t="s">
        <v>1148</v>
      </c>
      <c r="S5" s="77" t="s">
        <v>1149</v>
      </c>
      <c r="T5" s="77" t="s">
        <v>1150</v>
      </c>
      <c r="U5" s="77" t="s">
        <v>153</v>
      </c>
      <c r="V5" s="77" t="s">
        <v>1151</v>
      </c>
      <c r="W5" s="77" t="s">
        <v>1152</v>
      </c>
      <c r="X5" s="77" t="s">
        <v>1153</v>
      </c>
      <c r="Y5" s="77" t="s">
        <v>1154</v>
      </c>
      <c r="Z5" s="77" t="s">
        <v>1155</v>
      </c>
      <c r="AA5" s="77" t="s">
        <v>1156</v>
      </c>
      <c r="AB5" s="77" t="s">
        <v>1157</v>
      </c>
      <c r="AC5" s="77" t="s">
        <v>1158</v>
      </c>
      <c r="AD5" s="77" t="s">
        <v>1159</v>
      </c>
      <c r="AE5" s="77" t="s">
        <v>1160</v>
      </c>
      <c r="AF5" s="77" t="s">
        <v>1161</v>
      </c>
      <c r="AG5" s="77" t="s">
        <v>1162</v>
      </c>
      <c r="AH5" s="77" t="s">
        <v>1163</v>
      </c>
      <c r="AI5" s="77" t="s">
        <v>1164</v>
      </c>
      <c r="AJ5" s="77" t="s">
        <v>1165</v>
      </c>
      <c r="AK5" s="77" t="s">
        <v>1166</v>
      </c>
      <c r="AL5" s="77" t="s">
        <v>1167</v>
      </c>
      <c r="AM5" s="77" t="s">
        <v>1168</v>
      </c>
      <c r="AN5" s="77" t="s">
        <v>1169</v>
      </c>
      <c r="AO5" s="77" t="s">
        <v>1170</v>
      </c>
      <c r="AP5" s="77" t="s">
        <v>1171</v>
      </c>
      <c r="AQ5" s="77" t="s">
        <v>1172</v>
      </c>
      <c r="AR5" s="77" t="s">
        <v>165</v>
      </c>
      <c r="AS5" s="77" t="s">
        <v>1173</v>
      </c>
      <c r="AT5" s="77" t="s">
        <v>1174</v>
      </c>
      <c r="AU5" s="77" t="s">
        <v>1175</v>
      </c>
      <c r="AV5" s="77" t="s">
        <v>1176</v>
      </c>
      <c r="AW5" s="77" t="s">
        <v>1177</v>
      </c>
      <c r="AX5" s="77" t="s">
        <v>1178</v>
      </c>
      <c r="AY5" s="77" t="s">
        <v>1179</v>
      </c>
      <c r="AZ5" s="77" t="s">
        <v>1180</v>
      </c>
      <c r="BA5" s="77" t="s">
        <v>1181</v>
      </c>
      <c r="BB5" s="77" t="s">
        <v>179</v>
      </c>
      <c r="BC5" s="77" t="s">
        <v>1182</v>
      </c>
      <c r="BD5" s="77" t="s">
        <v>1183</v>
      </c>
      <c r="BE5" s="77" t="s">
        <v>1184</v>
      </c>
      <c r="BF5" s="77" t="s">
        <v>141</v>
      </c>
      <c r="BG5" s="77" t="s">
        <v>170</v>
      </c>
      <c r="BH5" s="77" t="s">
        <v>1185</v>
      </c>
      <c r="BI5" s="77" t="s">
        <v>1186</v>
      </c>
      <c r="BJ5" s="77" t="s">
        <v>123</v>
      </c>
      <c r="BL5" s="76" t="s">
        <v>1115</v>
      </c>
      <c r="BM5" s="76" t="s">
        <v>1187</v>
      </c>
      <c r="BO5" s="76" t="s">
        <v>1188</v>
      </c>
    </row>
    <row r="6" spans="1:67" ht="21.4" customHeight="1">
      <c r="A6" s="88" t="str">
        <f t="shared" ref="A6:A69" si="0">IF(D6="","","ACT-"&amp;TEXT(ROW()-5,"0000"))</f>
        <v/>
      </c>
      <c r="B6" s="88"/>
      <c r="C6" s="88"/>
      <c r="D6" s="88"/>
      <c r="E6" s="88"/>
      <c r="F6" s="88" t="s">
        <v>1511</v>
      </c>
      <c r="G6" s="88"/>
      <c r="H6" s="88"/>
      <c r="I6" s="88"/>
      <c r="J6" s="88"/>
      <c r="K6" s="88"/>
      <c r="L6" s="89"/>
      <c r="M6" s="88"/>
      <c r="N6" s="89"/>
      <c r="O6" s="90"/>
      <c r="P6" s="88"/>
      <c r="Q6" s="91"/>
      <c r="R6" s="88"/>
      <c r="S6" s="88"/>
      <c r="T6" s="88"/>
      <c r="U6" s="88"/>
      <c r="V6" s="88"/>
      <c r="W6" s="88"/>
      <c r="X6" s="88"/>
      <c r="Y6" s="88"/>
      <c r="Z6" s="88"/>
      <c r="AA6" s="91"/>
      <c r="AB6" s="91"/>
      <c r="AC6" s="91"/>
      <c r="AD6" s="90"/>
      <c r="AE6" s="88"/>
      <c r="AF6" s="88"/>
      <c r="AG6" s="91"/>
      <c r="AH6" s="91" t="str">
        <f t="shared" ref="AH6:AH69" si="1">IF(AC6="","",AC6-IF(AG6="",0,AG6))</f>
        <v/>
      </c>
      <c r="AI6" s="91"/>
      <c r="AJ6" s="91"/>
      <c r="AK6" s="91" t="str">
        <f t="shared" ref="AK6:AK69" si="2">IF(AND(AI6="",AJ6=""),"",IF(AI6="",0,AI6)-IF(AJ6="",0,AJ6))</f>
        <v/>
      </c>
      <c r="AL6" s="89" t="str">
        <f t="shared" ref="AL6:AL69" si="3">IFERROR(AK6/AC6,"")</f>
        <v/>
      </c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91"/>
      <c r="AX6" s="80"/>
      <c r="AY6" s="78"/>
      <c r="AZ6" s="78"/>
      <c r="BA6" s="78"/>
      <c r="BB6" s="78"/>
      <c r="BC6" s="78"/>
      <c r="BD6" s="78"/>
      <c r="BE6" s="78"/>
      <c r="BF6" s="78"/>
      <c r="BG6" s="78"/>
      <c r="BH6" s="80"/>
      <c r="BI6" s="78"/>
      <c r="BJ6" s="78"/>
      <c r="BL6" s="76" t="s">
        <v>1115</v>
      </c>
      <c r="BM6" s="76" t="s">
        <v>1189</v>
      </c>
      <c r="BO6" s="76" t="s">
        <v>1190</v>
      </c>
    </row>
    <row r="7" spans="1:67" ht="21.4" customHeight="1">
      <c r="A7" s="88" t="str">
        <f t="shared" si="0"/>
        <v/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  <c r="M7" s="88"/>
      <c r="N7" s="89"/>
      <c r="O7" s="90"/>
      <c r="P7" s="88"/>
      <c r="Q7" s="91"/>
      <c r="R7" s="88"/>
      <c r="S7" s="88"/>
      <c r="T7" s="88"/>
      <c r="U7" s="88"/>
      <c r="V7" s="88"/>
      <c r="W7" s="88"/>
      <c r="X7" s="88"/>
      <c r="Y7" s="88"/>
      <c r="Z7" s="88"/>
      <c r="AA7" s="91"/>
      <c r="AB7" s="91"/>
      <c r="AC7" s="91"/>
      <c r="AD7" s="90"/>
      <c r="AE7" s="88"/>
      <c r="AF7" s="88"/>
      <c r="AG7" s="91"/>
      <c r="AH7" s="91" t="str">
        <f t="shared" si="1"/>
        <v/>
      </c>
      <c r="AI7" s="91"/>
      <c r="AJ7" s="91"/>
      <c r="AK7" s="91" t="str">
        <f t="shared" si="2"/>
        <v/>
      </c>
      <c r="AL7" s="89" t="str">
        <f t="shared" si="3"/>
        <v/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91"/>
      <c r="AX7" s="84"/>
      <c r="AY7" s="82"/>
      <c r="AZ7" s="82"/>
      <c r="BA7" s="82"/>
      <c r="BB7" s="82"/>
      <c r="BC7" s="82"/>
      <c r="BD7" s="82"/>
      <c r="BE7" s="82"/>
      <c r="BF7" s="82"/>
      <c r="BG7" s="82"/>
      <c r="BH7" s="84"/>
      <c r="BI7" s="82"/>
      <c r="BJ7" s="78"/>
      <c r="BL7" s="76" t="s">
        <v>1115</v>
      </c>
      <c r="BM7" s="76" t="s">
        <v>1191</v>
      </c>
      <c r="BO7" s="76" t="s">
        <v>1192</v>
      </c>
    </row>
    <row r="8" spans="1:67" ht="21.4" customHeight="1">
      <c r="A8" s="88" t="str">
        <f t="shared" si="0"/>
        <v/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9"/>
      <c r="M8" s="88"/>
      <c r="N8" s="89"/>
      <c r="O8" s="90"/>
      <c r="P8" s="88"/>
      <c r="Q8" s="91"/>
      <c r="R8" s="88"/>
      <c r="S8" s="88"/>
      <c r="T8" s="88"/>
      <c r="U8" s="88"/>
      <c r="V8" s="88"/>
      <c r="W8" s="88"/>
      <c r="X8" s="88"/>
      <c r="Y8" s="88"/>
      <c r="Z8" s="88"/>
      <c r="AA8" s="91"/>
      <c r="AB8" s="91"/>
      <c r="AC8" s="91"/>
      <c r="AD8" s="90"/>
      <c r="AE8" s="88"/>
      <c r="AF8" s="88"/>
      <c r="AG8" s="91"/>
      <c r="AH8" s="91" t="str">
        <f t="shared" si="1"/>
        <v/>
      </c>
      <c r="AI8" s="91"/>
      <c r="AJ8" s="91"/>
      <c r="AK8" s="91" t="str">
        <f t="shared" si="2"/>
        <v/>
      </c>
      <c r="AL8" s="89" t="str">
        <f t="shared" si="3"/>
        <v/>
      </c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91"/>
      <c r="AX8" s="84"/>
      <c r="AY8" s="82"/>
      <c r="AZ8" s="82"/>
      <c r="BA8" s="82"/>
      <c r="BB8" s="82"/>
      <c r="BC8" s="82"/>
      <c r="BD8" s="82"/>
      <c r="BE8" s="82"/>
      <c r="BF8" s="82"/>
      <c r="BG8" s="82"/>
      <c r="BH8" s="84"/>
      <c r="BI8" s="82"/>
      <c r="BJ8" s="78"/>
      <c r="BL8" s="76" t="s">
        <v>1115</v>
      </c>
      <c r="BM8" s="76" t="s">
        <v>1193</v>
      </c>
      <c r="BO8" s="76" t="s">
        <v>1194</v>
      </c>
    </row>
    <row r="9" spans="1:67" ht="21.4" customHeight="1">
      <c r="A9" s="88" t="str">
        <f t="shared" si="0"/>
        <v/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9"/>
      <c r="M9" s="88"/>
      <c r="N9" s="89"/>
      <c r="O9" s="90"/>
      <c r="P9" s="88"/>
      <c r="Q9" s="91"/>
      <c r="R9" s="88"/>
      <c r="S9" s="88"/>
      <c r="T9" s="88"/>
      <c r="U9" s="88"/>
      <c r="V9" s="88"/>
      <c r="W9" s="88"/>
      <c r="X9" s="88"/>
      <c r="Y9" s="88"/>
      <c r="Z9" s="88"/>
      <c r="AA9" s="91"/>
      <c r="AB9" s="91"/>
      <c r="AC9" s="91"/>
      <c r="AD9" s="90"/>
      <c r="AE9" s="88"/>
      <c r="AF9" s="88"/>
      <c r="AG9" s="91"/>
      <c r="AH9" s="91" t="str">
        <f t="shared" si="1"/>
        <v/>
      </c>
      <c r="AI9" s="91"/>
      <c r="AJ9" s="91"/>
      <c r="AK9" s="91" t="str">
        <f t="shared" si="2"/>
        <v/>
      </c>
      <c r="AL9" s="89" t="str">
        <f t="shared" si="3"/>
        <v/>
      </c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91"/>
      <c r="AX9" s="84"/>
      <c r="AY9" s="82"/>
      <c r="AZ9" s="82"/>
      <c r="BA9" s="82"/>
      <c r="BB9" s="82"/>
      <c r="BC9" s="82"/>
      <c r="BD9" s="82"/>
      <c r="BE9" s="82"/>
      <c r="BF9" s="82"/>
      <c r="BG9" s="82"/>
      <c r="BH9" s="84"/>
      <c r="BI9" s="82"/>
      <c r="BJ9" s="78"/>
      <c r="BL9" s="76" t="s">
        <v>1115</v>
      </c>
      <c r="BM9" s="76" t="s">
        <v>1195</v>
      </c>
      <c r="BO9" s="76" t="s">
        <v>1196</v>
      </c>
    </row>
    <row r="10" spans="1:67" ht="21.4" customHeight="1">
      <c r="A10" s="88" t="str">
        <f t="shared" si="0"/>
        <v/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9"/>
      <c r="M10" s="88"/>
      <c r="N10" s="89"/>
      <c r="O10" s="90"/>
      <c r="P10" s="88"/>
      <c r="Q10" s="91"/>
      <c r="R10" s="88"/>
      <c r="S10" s="88"/>
      <c r="T10" s="88"/>
      <c r="U10" s="88"/>
      <c r="V10" s="88"/>
      <c r="W10" s="88"/>
      <c r="X10" s="88"/>
      <c r="Y10" s="88"/>
      <c r="Z10" s="88"/>
      <c r="AA10" s="91"/>
      <c r="AB10" s="91"/>
      <c r="AC10" s="91"/>
      <c r="AD10" s="90"/>
      <c r="AE10" s="88"/>
      <c r="AF10" s="88"/>
      <c r="AG10" s="91"/>
      <c r="AH10" s="91" t="str">
        <f t="shared" si="1"/>
        <v/>
      </c>
      <c r="AI10" s="91"/>
      <c r="AJ10" s="91"/>
      <c r="AK10" s="91" t="str">
        <f t="shared" si="2"/>
        <v/>
      </c>
      <c r="AL10" s="89" t="str">
        <f t="shared" si="3"/>
        <v/>
      </c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91"/>
      <c r="AX10" s="84"/>
      <c r="AY10" s="82"/>
      <c r="AZ10" s="82"/>
      <c r="BA10" s="82"/>
      <c r="BB10" s="82"/>
      <c r="BC10" s="82"/>
      <c r="BD10" s="82"/>
      <c r="BE10" s="82"/>
      <c r="BF10" s="82"/>
      <c r="BG10" s="82"/>
      <c r="BH10" s="84"/>
      <c r="BI10" s="82"/>
      <c r="BJ10" s="78"/>
      <c r="BL10" s="76" t="s">
        <v>1115</v>
      </c>
      <c r="BM10" s="76" t="s">
        <v>1197</v>
      </c>
      <c r="BO10" s="76" t="s">
        <v>1198</v>
      </c>
    </row>
    <row r="11" spans="1:67" ht="21.4" customHeight="1">
      <c r="A11" s="88" t="str">
        <f t="shared" si="0"/>
        <v/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9"/>
      <c r="M11" s="88"/>
      <c r="N11" s="89"/>
      <c r="O11" s="90"/>
      <c r="P11" s="88"/>
      <c r="Q11" s="91"/>
      <c r="R11" s="88"/>
      <c r="S11" s="88"/>
      <c r="T11" s="88"/>
      <c r="U11" s="88"/>
      <c r="V11" s="88"/>
      <c r="W11" s="88"/>
      <c r="X11" s="88"/>
      <c r="Y11" s="88"/>
      <c r="Z11" s="88"/>
      <c r="AA11" s="91"/>
      <c r="AB11" s="91"/>
      <c r="AC11" s="91"/>
      <c r="AD11" s="90"/>
      <c r="AE11" s="88"/>
      <c r="AF11" s="88"/>
      <c r="AG11" s="91"/>
      <c r="AH11" s="91" t="str">
        <f t="shared" si="1"/>
        <v/>
      </c>
      <c r="AI11" s="91"/>
      <c r="AJ11" s="91"/>
      <c r="AK11" s="91" t="str">
        <f t="shared" si="2"/>
        <v/>
      </c>
      <c r="AL11" s="89" t="str">
        <f t="shared" si="3"/>
        <v/>
      </c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91"/>
      <c r="AX11" s="84"/>
      <c r="AY11" s="82"/>
      <c r="AZ11" s="82"/>
      <c r="BA11" s="82"/>
      <c r="BB11" s="82"/>
      <c r="BC11" s="82"/>
      <c r="BD11" s="82"/>
      <c r="BE11" s="82"/>
      <c r="BF11" s="82"/>
      <c r="BG11" s="82"/>
      <c r="BH11" s="84"/>
      <c r="BI11" s="82"/>
      <c r="BJ11" s="78"/>
      <c r="BL11" s="76" t="s">
        <v>1115</v>
      </c>
      <c r="BM11" s="76" t="s">
        <v>1199</v>
      </c>
      <c r="BO11" s="76" t="s">
        <v>1200</v>
      </c>
    </row>
    <row r="12" spans="1:67" ht="21.4" customHeight="1">
      <c r="A12" s="88" t="str">
        <f t="shared" si="0"/>
        <v/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9"/>
      <c r="M12" s="88"/>
      <c r="N12" s="89"/>
      <c r="O12" s="90"/>
      <c r="P12" s="88"/>
      <c r="Q12" s="91"/>
      <c r="R12" s="88"/>
      <c r="S12" s="88"/>
      <c r="T12" s="88"/>
      <c r="U12" s="88"/>
      <c r="V12" s="88"/>
      <c r="W12" s="88"/>
      <c r="X12" s="88"/>
      <c r="Y12" s="88"/>
      <c r="Z12" s="88"/>
      <c r="AA12" s="91"/>
      <c r="AB12" s="91"/>
      <c r="AC12" s="91"/>
      <c r="AD12" s="90"/>
      <c r="AE12" s="88"/>
      <c r="AF12" s="88"/>
      <c r="AG12" s="91"/>
      <c r="AH12" s="91" t="str">
        <f t="shared" si="1"/>
        <v/>
      </c>
      <c r="AI12" s="91"/>
      <c r="AJ12" s="91"/>
      <c r="AK12" s="91" t="str">
        <f t="shared" si="2"/>
        <v/>
      </c>
      <c r="AL12" s="89" t="str">
        <f t="shared" si="3"/>
        <v/>
      </c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91"/>
      <c r="AX12" s="84"/>
      <c r="AY12" s="82"/>
      <c r="AZ12" s="82"/>
      <c r="BA12" s="82"/>
      <c r="BB12" s="82"/>
      <c r="BC12" s="82"/>
      <c r="BD12" s="82"/>
      <c r="BE12" s="82"/>
      <c r="BF12" s="82"/>
      <c r="BG12" s="82"/>
      <c r="BH12" s="84"/>
      <c r="BI12" s="82"/>
      <c r="BJ12" s="78"/>
      <c r="BL12" s="76" t="s">
        <v>1115</v>
      </c>
      <c r="BM12" s="76" t="s">
        <v>1201</v>
      </c>
      <c r="BO12" s="76" t="s">
        <v>1202</v>
      </c>
    </row>
    <row r="13" spans="1:67" ht="21.4" customHeight="1">
      <c r="A13" s="88" t="str">
        <f t="shared" si="0"/>
        <v/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9"/>
      <c r="M13" s="88"/>
      <c r="N13" s="89"/>
      <c r="O13" s="90"/>
      <c r="P13" s="88"/>
      <c r="Q13" s="91"/>
      <c r="R13" s="88"/>
      <c r="S13" s="88"/>
      <c r="T13" s="88"/>
      <c r="U13" s="88"/>
      <c r="V13" s="88"/>
      <c r="W13" s="88"/>
      <c r="X13" s="88"/>
      <c r="Y13" s="88"/>
      <c r="Z13" s="88"/>
      <c r="AA13" s="91"/>
      <c r="AB13" s="91"/>
      <c r="AC13" s="91"/>
      <c r="AD13" s="90"/>
      <c r="AE13" s="88"/>
      <c r="AF13" s="88"/>
      <c r="AG13" s="91"/>
      <c r="AH13" s="91" t="str">
        <f t="shared" si="1"/>
        <v/>
      </c>
      <c r="AI13" s="91"/>
      <c r="AJ13" s="91"/>
      <c r="AK13" s="91" t="str">
        <f t="shared" si="2"/>
        <v/>
      </c>
      <c r="AL13" s="89" t="str">
        <f t="shared" si="3"/>
        <v/>
      </c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91"/>
      <c r="AX13" s="84"/>
      <c r="AY13" s="82"/>
      <c r="AZ13" s="82"/>
      <c r="BA13" s="82"/>
      <c r="BB13" s="82"/>
      <c r="BC13" s="82"/>
      <c r="BD13" s="82"/>
      <c r="BE13" s="82"/>
      <c r="BF13" s="82"/>
      <c r="BG13" s="82"/>
      <c r="BH13" s="84"/>
      <c r="BI13" s="82"/>
      <c r="BJ13" s="78"/>
      <c r="BL13" s="76" t="s">
        <v>1115</v>
      </c>
      <c r="BM13" s="76" t="s">
        <v>1203</v>
      </c>
      <c r="BO13" s="76" t="s">
        <v>1204</v>
      </c>
    </row>
    <row r="14" spans="1:67" ht="21.4" customHeight="1">
      <c r="A14" s="88" t="str">
        <f t="shared" si="0"/>
        <v/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  <c r="M14" s="88"/>
      <c r="N14" s="89"/>
      <c r="O14" s="90"/>
      <c r="P14" s="88"/>
      <c r="Q14" s="91"/>
      <c r="R14" s="88"/>
      <c r="S14" s="88"/>
      <c r="T14" s="88"/>
      <c r="U14" s="88"/>
      <c r="V14" s="88"/>
      <c r="W14" s="88"/>
      <c r="X14" s="88"/>
      <c r="Y14" s="88"/>
      <c r="Z14" s="88"/>
      <c r="AA14" s="91"/>
      <c r="AB14" s="91"/>
      <c r="AC14" s="91"/>
      <c r="AD14" s="90"/>
      <c r="AE14" s="88"/>
      <c r="AF14" s="88"/>
      <c r="AG14" s="91"/>
      <c r="AH14" s="91" t="str">
        <f t="shared" si="1"/>
        <v/>
      </c>
      <c r="AI14" s="91"/>
      <c r="AJ14" s="91"/>
      <c r="AK14" s="91" t="str">
        <f t="shared" si="2"/>
        <v/>
      </c>
      <c r="AL14" s="89" t="str">
        <f t="shared" si="3"/>
        <v/>
      </c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91"/>
      <c r="AX14" s="84"/>
      <c r="AY14" s="82"/>
      <c r="AZ14" s="82"/>
      <c r="BA14" s="82"/>
      <c r="BB14" s="82"/>
      <c r="BC14" s="82"/>
      <c r="BD14" s="82"/>
      <c r="BE14" s="82"/>
      <c r="BF14" s="82"/>
      <c r="BG14" s="82"/>
      <c r="BH14" s="84"/>
      <c r="BI14" s="82"/>
      <c r="BJ14" s="78"/>
      <c r="BL14" s="76" t="s">
        <v>1115</v>
      </c>
      <c r="BM14" s="76" t="s">
        <v>1205</v>
      </c>
      <c r="BO14" s="76" t="s">
        <v>1206</v>
      </c>
    </row>
    <row r="15" spans="1:67" ht="21.4" customHeight="1">
      <c r="A15" s="88" t="str">
        <f t="shared" si="0"/>
        <v/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9"/>
      <c r="M15" s="88"/>
      <c r="N15" s="89"/>
      <c r="O15" s="90"/>
      <c r="P15" s="88"/>
      <c r="Q15" s="91"/>
      <c r="R15" s="88"/>
      <c r="S15" s="88"/>
      <c r="T15" s="88"/>
      <c r="U15" s="88"/>
      <c r="V15" s="88"/>
      <c r="W15" s="88"/>
      <c r="X15" s="88"/>
      <c r="Y15" s="88"/>
      <c r="Z15" s="88"/>
      <c r="AA15" s="91"/>
      <c r="AB15" s="91"/>
      <c r="AC15" s="91"/>
      <c r="AD15" s="90"/>
      <c r="AE15" s="88"/>
      <c r="AF15" s="88"/>
      <c r="AG15" s="91"/>
      <c r="AH15" s="91" t="str">
        <f t="shared" si="1"/>
        <v/>
      </c>
      <c r="AI15" s="91"/>
      <c r="AJ15" s="91"/>
      <c r="AK15" s="91" t="str">
        <f t="shared" si="2"/>
        <v/>
      </c>
      <c r="AL15" s="89" t="str">
        <f t="shared" si="3"/>
        <v/>
      </c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91"/>
      <c r="AX15" s="84"/>
      <c r="AY15" s="82"/>
      <c r="AZ15" s="82"/>
      <c r="BA15" s="82"/>
      <c r="BB15" s="82"/>
      <c r="BC15" s="82"/>
      <c r="BD15" s="82"/>
      <c r="BE15" s="82"/>
      <c r="BF15" s="82"/>
      <c r="BG15" s="82"/>
      <c r="BH15" s="84"/>
      <c r="BI15" s="82"/>
      <c r="BJ15" s="78"/>
      <c r="BL15" s="76" t="s">
        <v>1115</v>
      </c>
      <c r="BM15" s="76" t="s">
        <v>1207</v>
      </c>
      <c r="BO15" s="76" t="s">
        <v>1208</v>
      </c>
    </row>
    <row r="16" spans="1:67" ht="21.4" customHeight="1">
      <c r="A16" s="88" t="str">
        <f t="shared" si="0"/>
        <v/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9"/>
      <c r="M16" s="88"/>
      <c r="N16" s="89"/>
      <c r="O16" s="90"/>
      <c r="P16" s="88"/>
      <c r="Q16" s="91"/>
      <c r="R16" s="88"/>
      <c r="S16" s="88"/>
      <c r="T16" s="88"/>
      <c r="U16" s="88"/>
      <c r="V16" s="88"/>
      <c r="W16" s="88"/>
      <c r="X16" s="88"/>
      <c r="Y16" s="88"/>
      <c r="Z16" s="88"/>
      <c r="AA16" s="91"/>
      <c r="AB16" s="91"/>
      <c r="AC16" s="91"/>
      <c r="AD16" s="90"/>
      <c r="AE16" s="88"/>
      <c r="AF16" s="88"/>
      <c r="AG16" s="91"/>
      <c r="AH16" s="91" t="str">
        <f t="shared" si="1"/>
        <v/>
      </c>
      <c r="AI16" s="91"/>
      <c r="AJ16" s="91"/>
      <c r="AK16" s="91" t="str">
        <f t="shared" si="2"/>
        <v/>
      </c>
      <c r="AL16" s="89" t="str">
        <f t="shared" si="3"/>
        <v/>
      </c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91"/>
      <c r="AX16" s="84"/>
      <c r="AY16" s="82"/>
      <c r="AZ16" s="82"/>
      <c r="BA16" s="82"/>
      <c r="BB16" s="82"/>
      <c r="BC16" s="82"/>
      <c r="BD16" s="82"/>
      <c r="BE16" s="82"/>
      <c r="BF16" s="82"/>
      <c r="BG16" s="82"/>
      <c r="BH16" s="84"/>
      <c r="BI16" s="82"/>
      <c r="BJ16" s="78"/>
      <c r="BL16" s="76" t="s">
        <v>1115</v>
      </c>
      <c r="BM16" s="76" t="s">
        <v>1209</v>
      </c>
      <c r="BO16" s="76" t="s">
        <v>1210</v>
      </c>
    </row>
    <row r="17" spans="1:67" ht="21.4" customHeight="1">
      <c r="A17" s="88" t="str">
        <f t="shared" si="0"/>
        <v/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9"/>
      <c r="M17" s="88"/>
      <c r="N17" s="89"/>
      <c r="O17" s="90"/>
      <c r="P17" s="88"/>
      <c r="Q17" s="91"/>
      <c r="R17" s="88"/>
      <c r="S17" s="88"/>
      <c r="T17" s="88"/>
      <c r="U17" s="88"/>
      <c r="V17" s="88"/>
      <c r="W17" s="88"/>
      <c r="X17" s="88"/>
      <c r="Y17" s="88"/>
      <c r="Z17" s="88"/>
      <c r="AA17" s="91"/>
      <c r="AB17" s="91"/>
      <c r="AC17" s="91"/>
      <c r="AD17" s="90"/>
      <c r="AE17" s="88"/>
      <c r="AF17" s="88"/>
      <c r="AG17" s="91"/>
      <c r="AH17" s="91" t="str">
        <f t="shared" si="1"/>
        <v/>
      </c>
      <c r="AI17" s="91"/>
      <c r="AJ17" s="91"/>
      <c r="AK17" s="91" t="str">
        <f t="shared" si="2"/>
        <v/>
      </c>
      <c r="AL17" s="89" t="str">
        <f t="shared" si="3"/>
        <v/>
      </c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91"/>
      <c r="AX17" s="84"/>
      <c r="AY17" s="82"/>
      <c r="AZ17" s="82"/>
      <c r="BA17" s="82"/>
      <c r="BB17" s="82"/>
      <c r="BC17" s="82"/>
      <c r="BD17" s="82"/>
      <c r="BE17" s="82"/>
      <c r="BF17" s="82"/>
      <c r="BG17" s="82"/>
      <c r="BH17" s="84"/>
      <c r="BI17" s="82"/>
      <c r="BJ17" s="78"/>
      <c r="BL17" s="76" t="s">
        <v>1115</v>
      </c>
      <c r="BM17" s="76" t="s">
        <v>1211</v>
      </c>
      <c r="BO17" s="76" t="s">
        <v>1212</v>
      </c>
    </row>
    <row r="18" spans="1:67" ht="21.4" customHeight="1">
      <c r="A18" s="88" t="str">
        <f t="shared" si="0"/>
        <v/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9"/>
      <c r="M18" s="88"/>
      <c r="N18" s="89"/>
      <c r="O18" s="90"/>
      <c r="P18" s="88"/>
      <c r="Q18" s="91"/>
      <c r="R18" s="88"/>
      <c r="S18" s="88"/>
      <c r="T18" s="88"/>
      <c r="U18" s="88"/>
      <c r="V18" s="88"/>
      <c r="W18" s="88"/>
      <c r="X18" s="88"/>
      <c r="Y18" s="88"/>
      <c r="Z18" s="88"/>
      <c r="AA18" s="91"/>
      <c r="AB18" s="91"/>
      <c r="AC18" s="91"/>
      <c r="AD18" s="90"/>
      <c r="AE18" s="88"/>
      <c r="AF18" s="88"/>
      <c r="AG18" s="91"/>
      <c r="AH18" s="91" t="str">
        <f t="shared" si="1"/>
        <v/>
      </c>
      <c r="AI18" s="91"/>
      <c r="AJ18" s="91"/>
      <c r="AK18" s="91" t="str">
        <f t="shared" si="2"/>
        <v/>
      </c>
      <c r="AL18" s="89" t="str">
        <f t="shared" si="3"/>
        <v/>
      </c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91"/>
      <c r="AX18" s="84"/>
      <c r="AY18" s="82"/>
      <c r="AZ18" s="82"/>
      <c r="BA18" s="82"/>
      <c r="BB18" s="82"/>
      <c r="BC18" s="82"/>
      <c r="BD18" s="82"/>
      <c r="BE18" s="82"/>
      <c r="BF18" s="82"/>
      <c r="BG18" s="82"/>
      <c r="BH18" s="84"/>
      <c r="BI18" s="82"/>
      <c r="BJ18" s="78"/>
      <c r="BL18" s="76" t="s">
        <v>1115</v>
      </c>
      <c r="BM18" s="76" t="s">
        <v>1213</v>
      </c>
      <c r="BO18" s="76" t="s">
        <v>1214</v>
      </c>
    </row>
    <row r="19" spans="1:67" ht="21.4" customHeight="1">
      <c r="A19" s="88" t="str">
        <f t="shared" si="0"/>
        <v/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9"/>
      <c r="M19" s="88"/>
      <c r="N19" s="89"/>
      <c r="O19" s="90"/>
      <c r="P19" s="88"/>
      <c r="Q19" s="91"/>
      <c r="R19" s="88"/>
      <c r="S19" s="88"/>
      <c r="T19" s="88"/>
      <c r="U19" s="88"/>
      <c r="V19" s="88"/>
      <c r="W19" s="88"/>
      <c r="X19" s="88"/>
      <c r="Y19" s="88"/>
      <c r="Z19" s="88"/>
      <c r="AA19" s="91"/>
      <c r="AB19" s="91"/>
      <c r="AC19" s="91"/>
      <c r="AD19" s="90"/>
      <c r="AE19" s="88"/>
      <c r="AF19" s="88"/>
      <c r="AG19" s="91"/>
      <c r="AH19" s="91" t="str">
        <f t="shared" si="1"/>
        <v/>
      </c>
      <c r="AI19" s="91"/>
      <c r="AJ19" s="91"/>
      <c r="AK19" s="91" t="str">
        <f t="shared" si="2"/>
        <v/>
      </c>
      <c r="AL19" s="89" t="str">
        <f t="shared" si="3"/>
        <v/>
      </c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91"/>
      <c r="AX19" s="84"/>
      <c r="AY19" s="82"/>
      <c r="AZ19" s="82"/>
      <c r="BA19" s="82"/>
      <c r="BB19" s="82"/>
      <c r="BC19" s="82"/>
      <c r="BD19" s="82"/>
      <c r="BE19" s="82"/>
      <c r="BF19" s="82"/>
      <c r="BG19" s="82"/>
      <c r="BH19" s="84"/>
      <c r="BI19" s="82"/>
      <c r="BJ19" s="78"/>
      <c r="BL19" s="76" t="s">
        <v>1119</v>
      </c>
      <c r="BM19" s="76" t="s">
        <v>1215</v>
      </c>
      <c r="BO19" s="76" t="s">
        <v>1216</v>
      </c>
    </row>
    <row r="20" spans="1:67" ht="21.4" customHeight="1">
      <c r="A20" s="88" t="str">
        <f t="shared" si="0"/>
        <v/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9"/>
      <c r="M20" s="88"/>
      <c r="N20" s="89"/>
      <c r="O20" s="90"/>
      <c r="P20" s="88"/>
      <c r="Q20" s="91"/>
      <c r="R20" s="88"/>
      <c r="S20" s="88"/>
      <c r="T20" s="88"/>
      <c r="U20" s="88"/>
      <c r="V20" s="88"/>
      <c r="W20" s="88"/>
      <c r="X20" s="88"/>
      <c r="Y20" s="88"/>
      <c r="Z20" s="88"/>
      <c r="AA20" s="91"/>
      <c r="AB20" s="91"/>
      <c r="AC20" s="91"/>
      <c r="AD20" s="90"/>
      <c r="AE20" s="88"/>
      <c r="AF20" s="88"/>
      <c r="AG20" s="91"/>
      <c r="AH20" s="91" t="str">
        <f t="shared" si="1"/>
        <v/>
      </c>
      <c r="AI20" s="91"/>
      <c r="AJ20" s="91"/>
      <c r="AK20" s="91" t="str">
        <f t="shared" si="2"/>
        <v/>
      </c>
      <c r="AL20" s="89" t="str">
        <f t="shared" si="3"/>
        <v/>
      </c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91"/>
      <c r="AX20" s="84"/>
      <c r="AY20" s="82"/>
      <c r="AZ20" s="82"/>
      <c r="BA20" s="82"/>
      <c r="BB20" s="82"/>
      <c r="BC20" s="82"/>
      <c r="BD20" s="82"/>
      <c r="BE20" s="82"/>
      <c r="BF20" s="82"/>
      <c r="BG20" s="82"/>
      <c r="BH20" s="84"/>
      <c r="BI20" s="82"/>
      <c r="BJ20" s="78"/>
      <c r="BL20" s="76" t="s">
        <v>1119</v>
      </c>
      <c r="BM20" s="76" t="s">
        <v>1217</v>
      </c>
      <c r="BO20" s="76" t="s">
        <v>1218</v>
      </c>
    </row>
    <row r="21" spans="1:67" ht="21.4" customHeight="1">
      <c r="A21" s="88" t="str">
        <f t="shared" si="0"/>
        <v/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9"/>
      <c r="M21" s="88"/>
      <c r="N21" s="89"/>
      <c r="O21" s="90"/>
      <c r="P21" s="88"/>
      <c r="Q21" s="91"/>
      <c r="R21" s="88"/>
      <c r="S21" s="88"/>
      <c r="T21" s="88"/>
      <c r="U21" s="88"/>
      <c r="V21" s="88"/>
      <c r="W21" s="88"/>
      <c r="X21" s="88"/>
      <c r="Y21" s="88"/>
      <c r="Z21" s="88"/>
      <c r="AA21" s="91"/>
      <c r="AB21" s="91"/>
      <c r="AC21" s="91"/>
      <c r="AD21" s="90"/>
      <c r="AE21" s="88"/>
      <c r="AF21" s="88"/>
      <c r="AG21" s="91"/>
      <c r="AH21" s="91" t="str">
        <f t="shared" si="1"/>
        <v/>
      </c>
      <c r="AI21" s="91"/>
      <c r="AJ21" s="91"/>
      <c r="AK21" s="91" t="str">
        <f t="shared" si="2"/>
        <v/>
      </c>
      <c r="AL21" s="89" t="str">
        <f t="shared" si="3"/>
        <v/>
      </c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91"/>
      <c r="AX21" s="84"/>
      <c r="AY21" s="82"/>
      <c r="AZ21" s="82"/>
      <c r="BA21" s="82"/>
      <c r="BB21" s="82"/>
      <c r="BC21" s="82"/>
      <c r="BD21" s="82"/>
      <c r="BE21" s="82"/>
      <c r="BF21" s="82"/>
      <c r="BG21" s="82"/>
      <c r="BH21" s="84"/>
      <c r="BI21" s="82"/>
      <c r="BJ21" s="78"/>
      <c r="BL21" s="76" t="s">
        <v>1119</v>
      </c>
      <c r="BM21" s="76" t="s">
        <v>1219</v>
      </c>
      <c r="BO21" s="76" t="s">
        <v>1220</v>
      </c>
    </row>
    <row r="22" spans="1:67" ht="21.4" customHeight="1">
      <c r="A22" s="88" t="str">
        <f t="shared" si="0"/>
        <v/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9"/>
      <c r="M22" s="88"/>
      <c r="N22" s="89"/>
      <c r="O22" s="90"/>
      <c r="P22" s="88"/>
      <c r="Q22" s="91"/>
      <c r="R22" s="88"/>
      <c r="S22" s="88"/>
      <c r="T22" s="88"/>
      <c r="U22" s="88"/>
      <c r="V22" s="88"/>
      <c r="W22" s="88"/>
      <c r="X22" s="88"/>
      <c r="Y22" s="88"/>
      <c r="Z22" s="88"/>
      <c r="AA22" s="91"/>
      <c r="AB22" s="91"/>
      <c r="AC22" s="91"/>
      <c r="AD22" s="90"/>
      <c r="AE22" s="88"/>
      <c r="AF22" s="88"/>
      <c r="AG22" s="91"/>
      <c r="AH22" s="91" t="str">
        <f t="shared" si="1"/>
        <v/>
      </c>
      <c r="AI22" s="91"/>
      <c r="AJ22" s="91"/>
      <c r="AK22" s="91" t="str">
        <f t="shared" si="2"/>
        <v/>
      </c>
      <c r="AL22" s="89" t="str">
        <f t="shared" si="3"/>
        <v/>
      </c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91"/>
      <c r="AX22" s="84"/>
      <c r="AY22" s="82"/>
      <c r="AZ22" s="82"/>
      <c r="BA22" s="82"/>
      <c r="BB22" s="82"/>
      <c r="BC22" s="82"/>
      <c r="BD22" s="82"/>
      <c r="BE22" s="82"/>
      <c r="BF22" s="82"/>
      <c r="BG22" s="82"/>
      <c r="BH22" s="84"/>
      <c r="BI22" s="82"/>
      <c r="BJ22" s="78"/>
      <c r="BL22" s="76" t="s">
        <v>1119</v>
      </c>
      <c r="BM22" s="76" t="s">
        <v>1221</v>
      </c>
      <c r="BO22" s="76" t="s">
        <v>1222</v>
      </c>
    </row>
    <row r="23" spans="1:67" ht="21.4" customHeight="1">
      <c r="A23" s="88" t="str">
        <f t="shared" si="0"/>
        <v/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9"/>
      <c r="M23" s="88"/>
      <c r="N23" s="89"/>
      <c r="O23" s="90"/>
      <c r="P23" s="88"/>
      <c r="Q23" s="91"/>
      <c r="R23" s="88"/>
      <c r="S23" s="88"/>
      <c r="T23" s="88"/>
      <c r="U23" s="88"/>
      <c r="V23" s="88"/>
      <c r="W23" s="88"/>
      <c r="X23" s="88"/>
      <c r="Y23" s="88"/>
      <c r="Z23" s="88"/>
      <c r="AA23" s="91"/>
      <c r="AB23" s="91"/>
      <c r="AC23" s="91"/>
      <c r="AD23" s="90"/>
      <c r="AE23" s="88"/>
      <c r="AF23" s="88"/>
      <c r="AG23" s="91"/>
      <c r="AH23" s="91" t="str">
        <f t="shared" si="1"/>
        <v/>
      </c>
      <c r="AI23" s="91"/>
      <c r="AJ23" s="91"/>
      <c r="AK23" s="91" t="str">
        <f t="shared" si="2"/>
        <v/>
      </c>
      <c r="AL23" s="89" t="str">
        <f t="shared" si="3"/>
        <v/>
      </c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91"/>
      <c r="AX23" s="84"/>
      <c r="AY23" s="82"/>
      <c r="AZ23" s="82"/>
      <c r="BA23" s="82"/>
      <c r="BB23" s="82"/>
      <c r="BC23" s="82"/>
      <c r="BD23" s="82"/>
      <c r="BE23" s="82"/>
      <c r="BF23" s="82"/>
      <c r="BG23" s="82"/>
      <c r="BH23" s="84"/>
      <c r="BI23" s="82"/>
      <c r="BJ23" s="78"/>
      <c r="BL23" s="76" t="s">
        <v>1119</v>
      </c>
      <c r="BM23" s="76" t="s">
        <v>1223</v>
      </c>
      <c r="BO23" s="76" t="s">
        <v>1224</v>
      </c>
    </row>
    <row r="24" spans="1:67" ht="21.4" customHeight="1">
      <c r="A24" s="88" t="str">
        <f t="shared" si="0"/>
        <v/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88"/>
      <c r="N24" s="89"/>
      <c r="O24" s="90"/>
      <c r="P24" s="88"/>
      <c r="Q24" s="91"/>
      <c r="R24" s="88"/>
      <c r="S24" s="88"/>
      <c r="T24" s="88"/>
      <c r="U24" s="88"/>
      <c r="V24" s="88"/>
      <c r="W24" s="88"/>
      <c r="X24" s="88"/>
      <c r="Y24" s="88"/>
      <c r="Z24" s="88"/>
      <c r="AA24" s="91"/>
      <c r="AB24" s="91"/>
      <c r="AC24" s="91"/>
      <c r="AD24" s="90"/>
      <c r="AE24" s="88"/>
      <c r="AF24" s="88"/>
      <c r="AG24" s="91"/>
      <c r="AH24" s="91" t="str">
        <f t="shared" si="1"/>
        <v/>
      </c>
      <c r="AI24" s="91"/>
      <c r="AJ24" s="91"/>
      <c r="AK24" s="91" t="str">
        <f t="shared" si="2"/>
        <v/>
      </c>
      <c r="AL24" s="89" t="str">
        <f t="shared" si="3"/>
        <v/>
      </c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91"/>
      <c r="AX24" s="84"/>
      <c r="AY24" s="82"/>
      <c r="AZ24" s="82"/>
      <c r="BA24" s="82"/>
      <c r="BB24" s="82"/>
      <c r="BC24" s="82"/>
      <c r="BD24" s="82"/>
      <c r="BE24" s="82"/>
      <c r="BF24" s="82"/>
      <c r="BG24" s="82"/>
      <c r="BH24" s="84"/>
      <c r="BI24" s="82"/>
      <c r="BJ24" s="78"/>
      <c r="BL24" s="76" t="s">
        <v>1119</v>
      </c>
      <c r="BM24" s="76" t="s">
        <v>1225</v>
      </c>
      <c r="BO24" s="76" t="s">
        <v>1226</v>
      </c>
    </row>
    <row r="25" spans="1:67" ht="21.4" customHeight="1">
      <c r="A25" s="88" t="str">
        <f t="shared" si="0"/>
        <v/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9"/>
      <c r="M25" s="88"/>
      <c r="N25" s="89"/>
      <c r="O25" s="90"/>
      <c r="P25" s="88"/>
      <c r="Q25" s="91"/>
      <c r="R25" s="88"/>
      <c r="S25" s="88"/>
      <c r="T25" s="88"/>
      <c r="U25" s="88"/>
      <c r="V25" s="88"/>
      <c r="W25" s="88"/>
      <c r="X25" s="88"/>
      <c r="Y25" s="88"/>
      <c r="Z25" s="88"/>
      <c r="AA25" s="91"/>
      <c r="AB25" s="91"/>
      <c r="AC25" s="91"/>
      <c r="AD25" s="90"/>
      <c r="AE25" s="88"/>
      <c r="AF25" s="88"/>
      <c r="AG25" s="91"/>
      <c r="AH25" s="91" t="str">
        <f t="shared" si="1"/>
        <v/>
      </c>
      <c r="AI25" s="91"/>
      <c r="AJ25" s="91"/>
      <c r="AK25" s="91" t="str">
        <f t="shared" si="2"/>
        <v/>
      </c>
      <c r="AL25" s="89" t="str">
        <f t="shared" si="3"/>
        <v/>
      </c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91"/>
      <c r="AX25" s="84"/>
      <c r="AY25" s="82"/>
      <c r="AZ25" s="82"/>
      <c r="BA25" s="82"/>
      <c r="BB25" s="82"/>
      <c r="BC25" s="82"/>
      <c r="BD25" s="82"/>
      <c r="BE25" s="82"/>
      <c r="BF25" s="82"/>
      <c r="BG25" s="82"/>
      <c r="BH25" s="84"/>
      <c r="BI25" s="82"/>
      <c r="BJ25" s="78"/>
      <c r="BL25" s="76" t="s">
        <v>1119</v>
      </c>
      <c r="BM25" s="76" t="s">
        <v>1227</v>
      </c>
      <c r="BO25" s="76" t="s">
        <v>1228</v>
      </c>
    </row>
    <row r="26" spans="1:67" ht="21.4" customHeight="1">
      <c r="A26" s="88" t="str">
        <f t="shared" si="0"/>
        <v/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9"/>
      <c r="M26" s="88"/>
      <c r="N26" s="89"/>
      <c r="O26" s="90"/>
      <c r="P26" s="88"/>
      <c r="Q26" s="91"/>
      <c r="R26" s="88"/>
      <c r="S26" s="88"/>
      <c r="T26" s="88"/>
      <c r="U26" s="88"/>
      <c r="V26" s="88"/>
      <c r="W26" s="88"/>
      <c r="X26" s="88"/>
      <c r="Y26" s="88"/>
      <c r="Z26" s="88"/>
      <c r="AA26" s="91"/>
      <c r="AB26" s="91"/>
      <c r="AC26" s="91"/>
      <c r="AD26" s="90"/>
      <c r="AE26" s="88"/>
      <c r="AF26" s="88"/>
      <c r="AG26" s="91"/>
      <c r="AH26" s="91" t="str">
        <f t="shared" si="1"/>
        <v/>
      </c>
      <c r="AI26" s="91"/>
      <c r="AJ26" s="91"/>
      <c r="AK26" s="91" t="str">
        <f t="shared" si="2"/>
        <v/>
      </c>
      <c r="AL26" s="89" t="str">
        <f t="shared" si="3"/>
        <v/>
      </c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91"/>
      <c r="AX26" s="84"/>
      <c r="AY26" s="82"/>
      <c r="AZ26" s="82"/>
      <c r="BA26" s="82"/>
      <c r="BB26" s="82"/>
      <c r="BC26" s="82"/>
      <c r="BD26" s="82"/>
      <c r="BE26" s="82"/>
      <c r="BF26" s="82"/>
      <c r="BG26" s="82"/>
      <c r="BH26" s="84"/>
      <c r="BI26" s="82"/>
      <c r="BJ26" s="78"/>
      <c r="BL26" s="76" t="s">
        <v>1119</v>
      </c>
      <c r="BM26" s="76" t="s">
        <v>1229</v>
      </c>
      <c r="BO26" s="76" t="s">
        <v>1230</v>
      </c>
    </row>
    <row r="27" spans="1:67" ht="21.4" customHeight="1">
      <c r="A27" s="88" t="str">
        <f t="shared" si="0"/>
        <v/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9"/>
      <c r="M27" s="88"/>
      <c r="N27" s="89"/>
      <c r="O27" s="90"/>
      <c r="P27" s="88"/>
      <c r="Q27" s="91"/>
      <c r="R27" s="88"/>
      <c r="S27" s="88"/>
      <c r="T27" s="88"/>
      <c r="U27" s="88"/>
      <c r="V27" s="88"/>
      <c r="W27" s="88"/>
      <c r="X27" s="88"/>
      <c r="Y27" s="88"/>
      <c r="Z27" s="88"/>
      <c r="AA27" s="91"/>
      <c r="AB27" s="91"/>
      <c r="AC27" s="91"/>
      <c r="AD27" s="90"/>
      <c r="AE27" s="88"/>
      <c r="AF27" s="88"/>
      <c r="AG27" s="91"/>
      <c r="AH27" s="91" t="str">
        <f t="shared" si="1"/>
        <v/>
      </c>
      <c r="AI27" s="91"/>
      <c r="AJ27" s="91"/>
      <c r="AK27" s="91" t="str">
        <f t="shared" si="2"/>
        <v/>
      </c>
      <c r="AL27" s="89" t="str">
        <f t="shared" si="3"/>
        <v/>
      </c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91"/>
      <c r="AX27" s="84"/>
      <c r="AY27" s="82"/>
      <c r="AZ27" s="82"/>
      <c r="BA27" s="82"/>
      <c r="BB27" s="82"/>
      <c r="BC27" s="82"/>
      <c r="BD27" s="82"/>
      <c r="BE27" s="82"/>
      <c r="BF27" s="82"/>
      <c r="BG27" s="82"/>
      <c r="BH27" s="84"/>
      <c r="BI27" s="82"/>
      <c r="BJ27" s="78"/>
      <c r="BL27" s="76" t="s">
        <v>1119</v>
      </c>
      <c r="BM27" s="76" t="s">
        <v>1231</v>
      </c>
      <c r="BO27" s="76" t="s">
        <v>1232</v>
      </c>
    </row>
    <row r="28" spans="1:67" ht="21.4" customHeight="1">
      <c r="A28" s="88" t="str">
        <f t="shared" si="0"/>
        <v/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9"/>
      <c r="M28" s="88"/>
      <c r="N28" s="89"/>
      <c r="O28" s="90"/>
      <c r="P28" s="88"/>
      <c r="Q28" s="91"/>
      <c r="R28" s="88"/>
      <c r="S28" s="88"/>
      <c r="T28" s="88"/>
      <c r="U28" s="88"/>
      <c r="V28" s="88"/>
      <c r="W28" s="88"/>
      <c r="X28" s="88"/>
      <c r="Y28" s="88"/>
      <c r="Z28" s="88"/>
      <c r="AA28" s="91"/>
      <c r="AB28" s="91"/>
      <c r="AC28" s="91"/>
      <c r="AD28" s="90"/>
      <c r="AE28" s="88"/>
      <c r="AF28" s="88"/>
      <c r="AG28" s="91"/>
      <c r="AH28" s="91" t="str">
        <f t="shared" si="1"/>
        <v/>
      </c>
      <c r="AI28" s="91"/>
      <c r="AJ28" s="91"/>
      <c r="AK28" s="91" t="str">
        <f t="shared" si="2"/>
        <v/>
      </c>
      <c r="AL28" s="89" t="str">
        <f t="shared" si="3"/>
        <v/>
      </c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91"/>
      <c r="AX28" s="84"/>
      <c r="AY28" s="82"/>
      <c r="AZ28" s="82"/>
      <c r="BA28" s="82"/>
      <c r="BB28" s="82"/>
      <c r="BC28" s="82"/>
      <c r="BD28" s="82"/>
      <c r="BE28" s="82"/>
      <c r="BF28" s="82"/>
      <c r="BG28" s="82"/>
      <c r="BH28" s="84"/>
      <c r="BI28" s="82"/>
      <c r="BJ28" s="78"/>
      <c r="BL28" s="76" t="s">
        <v>1119</v>
      </c>
      <c r="BM28" s="76" t="s">
        <v>1233</v>
      </c>
      <c r="BO28" s="76" t="s">
        <v>1234</v>
      </c>
    </row>
    <row r="29" spans="1:67" ht="21.4" customHeight="1">
      <c r="A29" s="88" t="str">
        <f t="shared" si="0"/>
        <v/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88"/>
      <c r="N29" s="89"/>
      <c r="O29" s="90"/>
      <c r="P29" s="88"/>
      <c r="Q29" s="91"/>
      <c r="R29" s="88"/>
      <c r="S29" s="88"/>
      <c r="T29" s="88"/>
      <c r="U29" s="88"/>
      <c r="V29" s="88"/>
      <c r="W29" s="88"/>
      <c r="X29" s="88"/>
      <c r="Y29" s="88"/>
      <c r="Z29" s="88"/>
      <c r="AA29" s="91"/>
      <c r="AB29" s="91"/>
      <c r="AC29" s="91"/>
      <c r="AD29" s="90"/>
      <c r="AE29" s="88"/>
      <c r="AF29" s="88"/>
      <c r="AG29" s="91"/>
      <c r="AH29" s="91" t="str">
        <f t="shared" si="1"/>
        <v/>
      </c>
      <c r="AI29" s="91"/>
      <c r="AJ29" s="91"/>
      <c r="AK29" s="91" t="str">
        <f t="shared" si="2"/>
        <v/>
      </c>
      <c r="AL29" s="89" t="str">
        <f t="shared" si="3"/>
        <v/>
      </c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91"/>
      <c r="AX29" s="84"/>
      <c r="AY29" s="82"/>
      <c r="AZ29" s="82"/>
      <c r="BA29" s="82"/>
      <c r="BB29" s="82"/>
      <c r="BC29" s="82"/>
      <c r="BD29" s="82"/>
      <c r="BE29" s="82"/>
      <c r="BF29" s="82"/>
      <c r="BG29" s="82"/>
      <c r="BH29" s="84"/>
      <c r="BI29" s="82"/>
      <c r="BJ29" s="78"/>
      <c r="BL29" s="76" t="s">
        <v>1119</v>
      </c>
      <c r="BM29" s="76" t="s">
        <v>1235</v>
      </c>
    </row>
    <row r="30" spans="1:67" ht="21.4" customHeight="1">
      <c r="A30" s="88" t="str">
        <f t="shared" si="0"/>
        <v/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9"/>
      <c r="M30" s="88"/>
      <c r="N30" s="89"/>
      <c r="O30" s="90"/>
      <c r="P30" s="88"/>
      <c r="Q30" s="91"/>
      <c r="R30" s="88"/>
      <c r="S30" s="88"/>
      <c r="T30" s="88"/>
      <c r="U30" s="88"/>
      <c r="V30" s="88"/>
      <c r="W30" s="88"/>
      <c r="X30" s="88"/>
      <c r="Y30" s="88"/>
      <c r="Z30" s="88"/>
      <c r="AA30" s="91"/>
      <c r="AB30" s="91"/>
      <c r="AC30" s="91"/>
      <c r="AD30" s="90"/>
      <c r="AE30" s="88"/>
      <c r="AF30" s="88"/>
      <c r="AG30" s="91"/>
      <c r="AH30" s="91" t="str">
        <f t="shared" si="1"/>
        <v/>
      </c>
      <c r="AI30" s="91"/>
      <c r="AJ30" s="91"/>
      <c r="AK30" s="91" t="str">
        <f t="shared" si="2"/>
        <v/>
      </c>
      <c r="AL30" s="89" t="str">
        <f t="shared" si="3"/>
        <v/>
      </c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91"/>
      <c r="AX30" s="84"/>
      <c r="AY30" s="82"/>
      <c r="AZ30" s="82"/>
      <c r="BA30" s="82"/>
      <c r="BB30" s="82"/>
      <c r="BC30" s="82"/>
      <c r="BD30" s="82"/>
      <c r="BE30" s="82"/>
      <c r="BF30" s="82"/>
      <c r="BG30" s="82"/>
      <c r="BH30" s="84"/>
      <c r="BI30" s="82"/>
      <c r="BJ30" s="78"/>
      <c r="BL30" s="76" t="s">
        <v>1119</v>
      </c>
      <c r="BM30" s="76" t="s">
        <v>1236</v>
      </c>
    </row>
    <row r="31" spans="1:67" ht="21.4" customHeight="1">
      <c r="A31" s="88" t="str">
        <f t="shared" si="0"/>
        <v/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9"/>
      <c r="M31" s="88"/>
      <c r="N31" s="89"/>
      <c r="O31" s="90"/>
      <c r="P31" s="88"/>
      <c r="Q31" s="91"/>
      <c r="R31" s="88"/>
      <c r="S31" s="88"/>
      <c r="T31" s="88"/>
      <c r="U31" s="88"/>
      <c r="V31" s="88"/>
      <c r="W31" s="88"/>
      <c r="X31" s="88"/>
      <c r="Y31" s="88"/>
      <c r="Z31" s="88"/>
      <c r="AA31" s="91"/>
      <c r="AB31" s="91"/>
      <c r="AC31" s="91"/>
      <c r="AD31" s="90"/>
      <c r="AE31" s="88"/>
      <c r="AF31" s="88"/>
      <c r="AG31" s="91"/>
      <c r="AH31" s="91" t="str">
        <f t="shared" si="1"/>
        <v/>
      </c>
      <c r="AI31" s="91"/>
      <c r="AJ31" s="91"/>
      <c r="AK31" s="91" t="str">
        <f t="shared" si="2"/>
        <v/>
      </c>
      <c r="AL31" s="89" t="str">
        <f t="shared" si="3"/>
        <v/>
      </c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91"/>
      <c r="AX31" s="84"/>
      <c r="AY31" s="82"/>
      <c r="AZ31" s="82"/>
      <c r="BA31" s="82"/>
      <c r="BB31" s="82"/>
      <c r="BC31" s="82"/>
      <c r="BD31" s="82"/>
      <c r="BE31" s="82"/>
      <c r="BF31" s="82"/>
      <c r="BG31" s="82"/>
      <c r="BH31" s="84"/>
      <c r="BI31" s="82"/>
      <c r="BJ31" s="78"/>
      <c r="BL31" s="76" t="s">
        <v>1119</v>
      </c>
      <c r="BM31" s="76" t="s">
        <v>1237</v>
      </c>
    </row>
    <row r="32" spans="1:67" ht="21.4" customHeight="1">
      <c r="A32" s="88" t="str">
        <f t="shared" si="0"/>
        <v/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9"/>
      <c r="M32" s="88"/>
      <c r="N32" s="89"/>
      <c r="O32" s="90"/>
      <c r="P32" s="88"/>
      <c r="Q32" s="91"/>
      <c r="R32" s="88"/>
      <c r="S32" s="88"/>
      <c r="T32" s="88"/>
      <c r="U32" s="88"/>
      <c r="V32" s="88"/>
      <c r="W32" s="88"/>
      <c r="X32" s="88"/>
      <c r="Y32" s="88"/>
      <c r="Z32" s="88"/>
      <c r="AA32" s="91"/>
      <c r="AB32" s="91"/>
      <c r="AC32" s="91"/>
      <c r="AD32" s="90"/>
      <c r="AE32" s="88"/>
      <c r="AF32" s="88"/>
      <c r="AG32" s="91"/>
      <c r="AH32" s="91" t="str">
        <f t="shared" si="1"/>
        <v/>
      </c>
      <c r="AI32" s="91"/>
      <c r="AJ32" s="91"/>
      <c r="AK32" s="91" t="str">
        <f t="shared" si="2"/>
        <v/>
      </c>
      <c r="AL32" s="89" t="str">
        <f t="shared" si="3"/>
        <v/>
      </c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91"/>
      <c r="AX32" s="84"/>
      <c r="AY32" s="82"/>
      <c r="AZ32" s="82"/>
      <c r="BA32" s="82"/>
      <c r="BB32" s="82"/>
      <c r="BC32" s="82"/>
      <c r="BD32" s="82"/>
      <c r="BE32" s="82"/>
      <c r="BF32" s="82"/>
      <c r="BG32" s="82"/>
      <c r="BH32" s="84"/>
      <c r="BI32" s="82"/>
      <c r="BJ32" s="78"/>
      <c r="BL32" s="76" t="s">
        <v>1119</v>
      </c>
      <c r="BM32" s="76" t="s">
        <v>1238</v>
      </c>
    </row>
    <row r="33" spans="1:65" ht="21.4" customHeight="1">
      <c r="A33" s="88" t="str">
        <f t="shared" si="0"/>
        <v/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  <c r="M33" s="88"/>
      <c r="N33" s="89"/>
      <c r="O33" s="90"/>
      <c r="P33" s="88"/>
      <c r="Q33" s="91"/>
      <c r="R33" s="88"/>
      <c r="S33" s="88"/>
      <c r="T33" s="88"/>
      <c r="U33" s="88"/>
      <c r="V33" s="88"/>
      <c r="W33" s="88"/>
      <c r="X33" s="88"/>
      <c r="Y33" s="88"/>
      <c r="Z33" s="88"/>
      <c r="AA33" s="91"/>
      <c r="AB33" s="91"/>
      <c r="AC33" s="91"/>
      <c r="AD33" s="90"/>
      <c r="AE33" s="88"/>
      <c r="AF33" s="88"/>
      <c r="AG33" s="91"/>
      <c r="AH33" s="91" t="str">
        <f t="shared" si="1"/>
        <v/>
      </c>
      <c r="AI33" s="91"/>
      <c r="AJ33" s="91"/>
      <c r="AK33" s="91" t="str">
        <f t="shared" si="2"/>
        <v/>
      </c>
      <c r="AL33" s="89" t="str">
        <f t="shared" si="3"/>
        <v/>
      </c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91"/>
      <c r="AX33" s="84"/>
      <c r="AY33" s="82"/>
      <c r="AZ33" s="82"/>
      <c r="BA33" s="82"/>
      <c r="BB33" s="82"/>
      <c r="BC33" s="82"/>
      <c r="BD33" s="82"/>
      <c r="BE33" s="82"/>
      <c r="BF33" s="82"/>
      <c r="BG33" s="82"/>
      <c r="BH33" s="84"/>
      <c r="BI33" s="82"/>
      <c r="BJ33" s="78"/>
      <c r="BL33" s="76" t="s">
        <v>1119</v>
      </c>
      <c r="BM33" s="76" t="s">
        <v>1239</v>
      </c>
    </row>
    <row r="34" spans="1:65" ht="21.4" customHeight="1">
      <c r="A34" s="88" t="str">
        <f t="shared" si="0"/>
        <v/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9"/>
      <c r="M34" s="88"/>
      <c r="N34" s="89"/>
      <c r="O34" s="90"/>
      <c r="P34" s="88"/>
      <c r="Q34" s="91"/>
      <c r="R34" s="88"/>
      <c r="S34" s="88"/>
      <c r="T34" s="88"/>
      <c r="U34" s="88"/>
      <c r="V34" s="88"/>
      <c r="W34" s="88"/>
      <c r="X34" s="88"/>
      <c r="Y34" s="88"/>
      <c r="Z34" s="88"/>
      <c r="AA34" s="91"/>
      <c r="AB34" s="91"/>
      <c r="AC34" s="91"/>
      <c r="AD34" s="90"/>
      <c r="AE34" s="88"/>
      <c r="AF34" s="88"/>
      <c r="AG34" s="91"/>
      <c r="AH34" s="91" t="str">
        <f t="shared" si="1"/>
        <v/>
      </c>
      <c r="AI34" s="91"/>
      <c r="AJ34" s="91"/>
      <c r="AK34" s="91" t="str">
        <f t="shared" si="2"/>
        <v/>
      </c>
      <c r="AL34" s="89" t="str">
        <f t="shared" si="3"/>
        <v/>
      </c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91"/>
      <c r="AX34" s="84"/>
      <c r="AY34" s="82"/>
      <c r="AZ34" s="82"/>
      <c r="BA34" s="82"/>
      <c r="BB34" s="82"/>
      <c r="BC34" s="82"/>
      <c r="BD34" s="82"/>
      <c r="BE34" s="82"/>
      <c r="BF34" s="82"/>
      <c r="BG34" s="82"/>
      <c r="BH34" s="84"/>
      <c r="BI34" s="82"/>
      <c r="BJ34" s="78"/>
      <c r="BL34" s="76" t="s">
        <v>1132</v>
      </c>
      <c r="BM34" s="76" t="s">
        <v>1240</v>
      </c>
    </row>
    <row r="35" spans="1:65" ht="21.4" customHeight="1">
      <c r="A35" s="88" t="str">
        <f t="shared" si="0"/>
        <v/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9"/>
      <c r="M35" s="88"/>
      <c r="N35" s="89"/>
      <c r="O35" s="90"/>
      <c r="P35" s="88"/>
      <c r="Q35" s="91"/>
      <c r="R35" s="88"/>
      <c r="S35" s="88"/>
      <c r="T35" s="88"/>
      <c r="U35" s="88"/>
      <c r="V35" s="88"/>
      <c r="W35" s="88"/>
      <c r="X35" s="88"/>
      <c r="Y35" s="88"/>
      <c r="Z35" s="88"/>
      <c r="AA35" s="91"/>
      <c r="AB35" s="91"/>
      <c r="AC35" s="91"/>
      <c r="AD35" s="90"/>
      <c r="AE35" s="88"/>
      <c r="AF35" s="88"/>
      <c r="AG35" s="91"/>
      <c r="AH35" s="91" t="str">
        <f t="shared" si="1"/>
        <v/>
      </c>
      <c r="AI35" s="91"/>
      <c r="AJ35" s="91"/>
      <c r="AK35" s="91" t="str">
        <f t="shared" si="2"/>
        <v/>
      </c>
      <c r="AL35" s="89" t="str">
        <f t="shared" si="3"/>
        <v/>
      </c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91"/>
      <c r="AX35" s="84"/>
      <c r="AY35" s="82"/>
      <c r="AZ35" s="82"/>
      <c r="BA35" s="82"/>
      <c r="BB35" s="82"/>
      <c r="BC35" s="82"/>
      <c r="BD35" s="82"/>
      <c r="BE35" s="82"/>
      <c r="BF35" s="82"/>
      <c r="BG35" s="82"/>
      <c r="BH35" s="84"/>
      <c r="BI35" s="82"/>
      <c r="BJ35" s="78"/>
      <c r="BL35" s="76" t="s">
        <v>1132</v>
      </c>
      <c r="BM35" s="76" t="s">
        <v>1241</v>
      </c>
    </row>
    <row r="36" spans="1:65" ht="21.4" customHeight="1">
      <c r="A36" s="88" t="str">
        <f t="shared" si="0"/>
        <v/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9"/>
      <c r="M36" s="88"/>
      <c r="N36" s="89"/>
      <c r="O36" s="90"/>
      <c r="P36" s="88"/>
      <c r="Q36" s="91"/>
      <c r="R36" s="88"/>
      <c r="S36" s="88"/>
      <c r="T36" s="88"/>
      <c r="U36" s="88"/>
      <c r="V36" s="88"/>
      <c r="W36" s="88"/>
      <c r="X36" s="88"/>
      <c r="Y36" s="88"/>
      <c r="Z36" s="88"/>
      <c r="AA36" s="91"/>
      <c r="AB36" s="91"/>
      <c r="AC36" s="91"/>
      <c r="AD36" s="90"/>
      <c r="AE36" s="88"/>
      <c r="AF36" s="88"/>
      <c r="AG36" s="91"/>
      <c r="AH36" s="91" t="str">
        <f t="shared" si="1"/>
        <v/>
      </c>
      <c r="AI36" s="91"/>
      <c r="AJ36" s="91"/>
      <c r="AK36" s="91" t="str">
        <f t="shared" si="2"/>
        <v/>
      </c>
      <c r="AL36" s="89" t="str">
        <f t="shared" si="3"/>
        <v/>
      </c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91"/>
      <c r="AX36" s="84"/>
      <c r="AY36" s="82"/>
      <c r="AZ36" s="82"/>
      <c r="BA36" s="82"/>
      <c r="BB36" s="82"/>
      <c r="BC36" s="82"/>
      <c r="BD36" s="82"/>
      <c r="BE36" s="82"/>
      <c r="BF36" s="82"/>
      <c r="BG36" s="82"/>
      <c r="BH36" s="84"/>
      <c r="BI36" s="82"/>
      <c r="BJ36" s="78"/>
      <c r="BL36" s="76" t="s">
        <v>1132</v>
      </c>
      <c r="BM36" s="76" t="s">
        <v>1242</v>
      </c>
    </row>
    <row r="37" spans="1:65" ht="21.4" customHeight="1">
      <c r="A37" s="88" t="str">
        <f t="shared" si="0"/>
        <v/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9"/>
      <c r="M37" s="88"/>
      <c r="N37" s="89"/>
      <c r="O37" s="90"/>
      <c r="P37" s="88"/>
      <c r="Q37" s="91"/>
      <c r="R37" s="88"/>
      <c r="S37" s="88"/>
      <c r="T37" s="88"/>
      <c r="U37" s="88"/>
      <c r="V37" s="88"/>
      <c r="W37" s="88"/>
      <c r="X37" s="88"/>
      <c r="Y37" s="88"/>
      <c r="Z37" s="88"/>
      <c r="AA37" s="91"/>
      <c r="AB37" s="91"/>
      <c r="AC37" s="91"/>
      <c r="AD37" s="90"/>
      <c r="AE37" s="88"/>
      <c r="AF37" s="88"/>
      <c r="AG37" s="91"/>
      <c r="AH37" s="91" t="str">
        <f t="shared" si="1"/>
        <v/>
      </c>
      <c r="AI37" s="91"/>
      <c r="AJ37" s="91"/>
      <c r="AK37" s="91" t="str">
        <f t="shared" si="2"/>
        <v/>
      </c>
      <c r="AL37" s="89" t="str">
        <f t="shared" si="3"/>
        <v/>
      </c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91"/>
      <c r="AX37" s="84"/>
      <c r="AY37" s="82"/>
      <c r="AZ37" s="82"/>
      <c r="BA37" s="82"/>
      <c r="BB37" s="82"/>
      <c r="BC37" s="82"/>
      <c r="BD37" s="82"/>
      <c r="BE37" s="82"/>
      <c r="BF37" s="82"/>
      <c r="BG37" s="82"/>
      <c r="BH37" s="84"/>
      <c r="BI37" s="82"/>
      <c r="BJ37" s="78"/>
      <c r="BL37" s="76" t="s">
        <v>1132</v>
      </c>
      <c r="BM37" s="76" t="s">
        <v>1243</v>
      </c>
    </row>
    <row r="38" spans="1:65" ht="21.4" customHeight="1">
      <c r="A38" s="88" t="str">
        <f t="shared" si="0"/>
        <v/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9"/>
      <c r="M38" s="88"/>
      <c r="N38" s="89"/>
      <c r="O38" s="90"/>
      <c r="P38" s="88"/>
      <c r="Q38" s="91"/>
      <c r="R38" s="88"/>
      <c r="S38" s="88"/>
      <c r="T38" s="88"/>
      <c r="U38" s="88"/>
      <c r="V38" s="88"/>
      <c r="W38" s="88"/>
      <c r="X38" s="88"/>
      <c r="Y38" s="88"/>
      <c r="Z38" s="88"/>
      <c r="AA38" s="91"/>
      <c r="AB38" s="91"/>
      <c r="AC38" s="91"/>
      <c r="AD38" s="90"/>
      <c r="AE38" s="88"/>
      <c r="AF38" s="88"/>
      <c r="AG38" s="91"/>
      <c r="AH38" s="91" t="str">
        <f t="shared" si="1"/>
        <v/>
      </c>
      <c r="AI38" s="91"/>
      <c r="AJ38" s="91"/>
      <c r="AK38" s="91" t="str">
        <f t="shared" si="2"/>
        <v/>
      </c>
      <c r="AL38" s="89" t="str">
        <f t="shared" si="3"/>
        <v/>
      </c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91"/>
      <c r="AX38" s="84"/>
      <c r="AY38" s="82"/>
      <c r="AZ38" s="82"/>
      <c r="BA38" s="82"/>
      <c r="BB38" s="82"/>
      <c r="BC38" s="82"/>
      <c r="BD38" s="82"/>
      <c r="BE38" s="82"/>
      <c r="BF38" s="82"/>
      <c r="BG38" s="82"/>
      <c r="BH38" s="84"/>
      <c r="BI38" s="82"/>
      <c r="BJ38" s="78"/>
      <c r="BL38" s="76" t="s">
        <v>1132</v>
      </c>
      <c r="BM38" s="76" t="s">
        <v>1244</v>
      </c>
    </row>
    <row r="39" spans="1:65" ht="21.4" customHeight="1">
      <c r="A39" s="88" t="str">
        <f t="shared" si="0"/>
        <v/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9"/>
      <c r="M39" s="88"/>
      <c r="N39" s="89"/>
      <c r="O39" s="90"/>
      <c r="P39" s="88"/>
      <c r="Q39" s="91"/>
      <c r="R39" s="88"/>
      <c r="S39" s="88"/>
      <c r="T39" s="88"/>
      <c r="U39" s="88"/>
      <c r="V39" s="88"/>
      <c r="W39" s="88"/>
      <c r="X39" s="88"/>
      <c r="Y39" s="88"/>
      <c r="Z39" s="88"/>
      <c r="AA39" s="91"/>
      <c r="AB39" s="91"/>
      <c r="AC39" s="91"/>
      <c r="AD39" s="90"/>
      <c r="AE39" s="88"/>
      <c r="AF39" s="88"/>
      <c r="AG39" s="91"/>
      <c r="AH39" s="91" t="str">
        <f t="shared" si="1"/>
        <v/>
      </c>
      <c r="AI39" s="91"/>
      <c r="AJ39" s="91"/>
      <c r="AK39" s="91" t="str">
        <f t="shared" si="2"/>
        <v/>
      </c>
      <c r="AL39" s="89" t="str">
        <f t="shared" si="3"/>
        <v/>
      </c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91"/>
      <c r="AX39" s="84"/>
      <c r="AY39" s="82"/>
      <c r="AZ39" s="82"/>
      <c r="BA39" s="82"/>
      <c r="BB39" s="82"/>
      <c r="BC39" s="82"/>
      <c r="BD39" s="82"/>
      <c r="BE39" s="82"/>
      <c r="BF39" s="82"/>
      <c r="BG39" s="82"/>
      <c r="BH39" s="84"/>
      <c r="BI39" s="82"/>
      <c r="BJ39" s="78"/>
      <c r="BL39" s="76" t="s">
        <v>1132</v>
      </c>
      <c r="BM39" s="76" t="s">
        <v>1245</v>
      </c>
    </row>
    <row r="40" spans="1:65" ht="21.4" customHeight="1">
      <c r="A40" s="78" t="str">
        <f t="shared" si="0"/>
        <v/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3"/>
      <c r="M40" s="82"/>
      <c r="N40" s="83"/>
      <c r="O40" s="84"/>
      <c r="P40" s="82"/>
      <c r="Q40" s="85"/>
      <c r="R40" s="82"/>
      <c r="S40" s="82"/>
      <c r="T40" s="82"/>
      <c r="U40" s="82"/>
      <c r="V40" s="82"/>
      <c r="W40" s="82"/>
      <c r="X40" s="82"/>
      <c r="Y40" s="82"/>
      <c r="Z40" s="82"/>
      <c r="AA40" s="85"/>
      <c r="AB40" s="85"/>
      <c r="AC40" s="85"/>
      <c r="AD40" s="84"/>
      <c r="AE40" s="82"/>
      <c r="AF40" s="82"/>
      <c r="AG40" s="85"/>
      <c r="AH40" s="85" t="str">
        <f t="shared" si="1"/>
        <v/>
      </c>
      <c r="AI40" s="85"/>
      <c r="AJ40" s="85"/>
      <c r="AK40" s="85" t="str">
        <f t="shared" si="2"/>
        <v/>
      </c>
      <c r="AL40" s="83" t="str">
        <f t="shared" si="3"/>
        <v/>
      </c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5"/>
      <c r="AX40" s="84"/>
      <c r="AY40" s="82"/>
      <c r="AZ40" s="82"/>
      <c r="BA40" s="82"/>
      <c r="BB40" s="82"/>
      <c r="BC40" s="82"/>
      <c r="BD40" s="82"/>
      <c r="BE40" s="82"/>
      <c r="BF40" s="82"/>
      <c r="BG40" s="82"/>
      <c r="BH40" s="84"/>
      <c r="BI40" s="82"/>
      <c r="BJ40" s="78"/>
      <c r="BL40" s="76" t="s">
        <v>1132</v>
      </c>
      <c r="BM40" s="76" t="s">
        <v>1246</v>
      </c>
    </row>
    <row r="41" spans="1:65" ht="21.4" customHeight="1">
      <c r="A41" s="78" t="str">
        <f t="shared" si="0"/>
        <v/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3"/>
      <c r="M41" s="82"/>
      <c r="N41" s="83"/>
      <c r="O41" s="84"/>
      <c r="P41" s="82"/>
      <c r="Q41" s="85"/>
      <c r="R41" s="82"/>
      <c r="S41" s="82"/>
      <c r="T41" s="82"/>
      <c r="U41" s="82"/>
      <c r="V41" s="82"/>
      <c r="W41" s="82"/>
      <c r="X41" s="82"/>
      <c r="Y41" s="82"/>
      <c r="Z41" s="82"/>
      <c r="AA41" s="85"/>
      <c r="AB41" s="85"/>
      <c r="AC41" s="85"/>
      <c r="AD41" s="84"/>
      <c r="AE41" s="82"/>
      <c r="AF41" s="82"/>
      <c r="AG41" s="85"/>
      <c r="AH41" s="85" t="str">
        <f t="shared" si="1"/>
        <v/>
      </c>
      <c r="AI41" s="85"/>
      <c r="AJ41" s="85"/>
      <c r="AK41" s="85" t="str">
        <f t="shared" si="2"/>
        <v/>
      </c>
      <c r="AL41" s="83" t="str">
        <f t="shared" si="3"/>
        <v/>
      </c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5"/>
      <c r="AX41" s="84"/>
      <c r="AY41" s="82"/>
      <c r="AZ41" s="82"/>
      <c r="BA41" s="82"/>
      <c r="BB41" s="82"/>
      <c r="BC41" s="82"/>
      <c r="BD41" s="82"/>
      <c r="BE41" s="82"/>
      <c r="BF41" s="82"/>
      <c r="BG41" s="82"/>
      <c r="BH41" s="84"/>
      <c r="BI41" s="82"/>
      <c r="BJ41" s="78"/>
      <c r="BL41" s="76" t="s">
        <v>1132</v>
      </c>
      <c r="BM41" s="76" t="s">
        <v>1247</v>
      </c>
    </row>
    <row r="42" spans="1:65" ht="21.4" customHeight="1">
      <c r="A42" s="78" t="str">
        <f t="shared" si="0"/>
        <v/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3"/>
      <c r="M42" s="82"/>
      <c r="N42" s="83"/>
      <c r="O42" s="84"/>
      <c r="P42" s="82"/>
      <c r="Q42" s="85"/>
      <c r="R42" s="82"/>
      <c r="S42" s="82"/>
      <c r="T42" s="82"/>
      <c r="U42" s="82"/>
      <c r="V42" s="82"/>
      <c r="W42" s="82"/>
      <c r="X42" s="82"/>
      <c r="Y42" s="82"/>
      <c r="Z42" s="82"/>
      <c r="AA42" s="85"/>
      <c r="AB42" s="85"/>
      <c r="AC42" s="85"/>
      <c r="AD42" s="84"/>
      <c r="AE42" s="82"/>
      <c r="AF42" s="82"/>
      <c r="AG42" s="85"/>
      <c r="AH42" s="85" t="str">
        <f t="shared" si="1"/>
        <v/>
      </c>
      <c r="AI42" s="85"/>
      <c r="AJ42" s="85"/>
      <c r="AK42" s="85" t="str">
        <f t="shared" si="2"/>
        <v/>
      </c>
      <c r="AL42" s="83" t="str">
        <f t="shared" si="3"/>
        <v/>
      </c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5"/>
      <c r="AX42" s="84"/>
      <c r="AY42" s="82"/>
      <c r="AZ42" s="82"/>
      <c r="BA42" s="82"/>
      <c r="BB42" s="82"/>
      <c r="BC42" s="82"/>
      <c r="BD42" s="82"/>
      <c r="BE42" s="82"/>
      <c r="BF42" s="82"/>
      <c r="BG42" s="82"/>
      <c r="BH42" s="84"/>
      <c r="BI42" s="82"/>
      <c r="BJ42" s="78"/>
      <c r="BL42" s="76" t="s">
        <v>1132</v>
      </c>
      <c r="BM42" s="76" t="s">
        <v>1248</v>
      </c>
    </row>
    <row r="43" spans="1:65" ht="21.4" customHeight="1">
      <c r="A43" s="78" t="str">
        <f t="shared" si="0"/>
        <v/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3"/>
      <c r="M43" s="82"/>
      <c r="N43" s="83"/>
      <c r="O43" s="84"/>
      <c r="P43" s="82"/>
      <c r="Q43" s="85"/>
      <c r="R43" s="82"/>
      <c r="S43" s="82"/>
      <c r="T43" s="82"/>
      <c r="U43" s="82"/>
      <c r="V43" s="82"/>
      <c r="W43" s="82"/>
      <c r="X43" s="82"/>
      <c r="Y43" s="82"/>
      <c r="Z43" s="82"/>
      <c r="AA43" s="85"/>
      <c r="AB43" s="85"/>
      <c r="AC43" s="85"/>
      <c r="AD43" s="84"/>
      <c r="AE43" s="82"/>
      <c r="AF43" s="82"/>
      <c r="AG43" s="85"/>
      <c r="AH43" s="85" t="str">
        <f t="shared" si="1"/>
        <v/>
      </c>
      <c r="AI43" s="85"/>
      <c r="AJ43" s="85"/>
      <c r="AK43" s="85" t="str">
        <f t="shared" si="2"/>
        <v/>
      </c>
      <c r="AL43" s="83" t="str">
        <f t="shared" si="3"/>
        <v/>
      </c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5"/>
      <c r="AX43" s="84"/>
      <c r="AY43" s="82"/>
      <c r="AZ43" s="82"/>
      <c r="BA43" s="82"/>
      <c r="BB43" s="82"/>
      <c r="BC43" s="82"/>
      <c r="BD43" s="82"/>
      <c r="BE43" s="82"/>
      <c r="BF43" s="82"/>
      <c r="BG43" s="82"/>
      <c r="BH43" s="84"/>
      <c r="BI43" s="82"/>
      <c r="BJ43" s="78"/>
      <c r="BL43" s="76" t="s">
        <v>1132</v>
      </c>
      <c r="BM43" s="76" t="s">
        <v>1249</v>
      </c>
    </row>
    <row r="44" spans="1:65" ht="21.4" customHeight="1">
      <c r="A44" s="78" t="str">
        <f t="shared" si="0"/>
        <v/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3"/>
      <c r="M44" s="82"/>
      <c r="N44" s="83"/>
      <c r="O44" s="84"/>
      <c r="P44" s="82"/>
      <c r="Q44" s="85"/>
      <c r="R44" s="82"/>
      <c r="S44" s="82"/>
      <c r="T44" s="82"/>
      <c r="U44" s="82"/>
      <c r="V44" s="82"/>
      <c r="W44" s="82"/>
      <c r="X44" s="82"/>
      <c r="Y44" s="82"/>
      <c r="Z44" s="82"/>
      <c r="AA44" s="85"/>
      <c r="AB44" s="85"/>
      <c r="AC44" s="85"/>
      <c r="AD44" s="84"/>
      <c r="AE44" s="82"/>
      <c r="AF44" s="82"/>
      <c r="AG44" s="85"/>
      <c r="AH44" s="85" t="str">
        <f t="shared" si="1"/>
        <v/>
      </c>
      <c r="AI44" s="85"/>
      <c r="AJ44" s="85"/>
      <c r="AK44" s="85" t="str">
        <f t="shared" si="2"/>
        <v/>
      </c>
      <c r="AL44" s="83" t="str">
        <f t="shared" si="3"/>
        <v/>
      </c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5"/>
      <c r="AX44" s="84"/>
      <c r="AY44" s="82"/>
      <c r="AZ44" s="82"/>
      <c r="BA44" s="82"/>
      <c r="BB44" s="82"/>
      <c r="BC44" s="82"/>
      <c r="BD44" s="82"/>
      <c r="BE44" s="82"/>
      <c r="BF44" s="82"/>
      <c r="BG44" s="82"/>
      <c r="BH44" s="84"/>
      <c r="BI44" s="82"/>
      <c r="BJ44" s="78"/>
      <c r="BL44" s="76" t="s">
        <v>1132</v>
      </c>
      <c r="BM44" s="76" t="s">
        <v>1250</v>
      </c>
    </row>
    <row r="45" spans="1:65" ht="21.4" customHeight="1">
      <c r="A45" s="78" t="str">
        <f t="shared" si="0"/>
        <v/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3"/>
      <c r="M45" s="82"/>
      <c r="N45" s="83"/>
      <c r="O45" s="84"/>
      <c r="P45" s="82"/>
      <c r="Q45" s="85"/>
      <c r="R45" s="82"/>
      <c r="S45" s="82"/>
      <c r="T45" s="82"/>
      <c r="U45" s="82"/>
      <c r="V45" s="82"/>
      <c r="W45" s="82"/>
      <c r="X45" s="82"/>
      <c r="Y45" s="82"/>
      <c r="Z45" s="82"/>
      <c r="AA45" s="85"/>
      <c r="AB45" s="85"/>
      <c r="AC45" s="85"/>
      <c r="AD45" s="84"/>
      <c r="AE45" s="82"/>
      <c r="AF45" s="82"/>
      <c r="AG45" s="85"/>
      <c r="AH45" s="85" t="str">
        <f t="shared" si="1"/>
        <v/>
      </c>
      <c r="AI45" s="85"/>
      <c r="AJ45" s="85"/>
      <c r="AK45" s="85" t="str">
        <f t="shared" si="2"/>
        <v/>
      </c>
      <c r="AL45" s="83" t="str">
        <f t="shared" si="3"/>
        <v/>
      </c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5"/>
      <c r="AX45" s="84"/>
      <c r="AY45" s="82"/>
      <c r="AZ45" s="82"/>
      <c r="BA45" s="82"/>
      <c r="BB45" s="82"/>
      <c r="BC45" s="82"/>
      <c r="BD45" s="82"/>
      <c r="BE45" s="82"/>
      <c r="BF45" s="82"/>
      <c r="BG45" s="82"/>
      <c r="BH45" s="84"/>
      <c r="BI45" s="82"/>
      <c r="BJ45" s="78"/>
      <c r="BL45" s="76" t="s">
        <v>1132</v>
      </c>
      <c r="BM45" s="76" t="s">
        <v>1251</v>
      </c>
    </row>
    <row r="46" spans="1:65" ht="21.4" customHeight="1">
      <c r="A46" s="78" t="str">
        <f t="shared" si="0"/>
        <v/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3"/>
      <c r="M46" s="82"/>
      <c r="N46" s="83"/>
      <c r="O46" s="84"/>
      <c r="P46" s="82"/>
      <c r="Q46" s="85"/>
      <c r="R46" s="82"/>
      <c r="S46" s="82"/>
      <c r="T46" s="82"/>
      <c r="U46" s="82"/>
      <c r="V46" s="82"/>
      <c r="W46" s="82"/>
      <c r="X46" s="82"/>
      <c r="Y46" s="82"/>
      <c r="Z46" s="82"/>
      <c r="AA46" s="85"/>
      <c r="AB46" s="85"/>
      <c r="AC46" s="85"/>
      <c r="AD46" s="84"/>
      <c r="AE46" s="82"/>
      <c r="AF46" s="82"/>
      <c r="AG46" s="85"/>
      <c r="AH46" s="85" t="str">
        <f t="shared" si="1"/>
        <v/>
      </c>
      <c r="AI46" s="85"/>
      <c r="AJ46" s="85"/>
      <c r="AK46" s="85" t="str">
        <f t="shared" si="2"/>
        <v/>
      </c>
      <c r="AL46" s="83" t="str">
        <f t="shared" si="3"/>
        <v/>
      </c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5"/>
      <c r="AX46" s="84"/>
      <c r="AY46" s="82"/>
      <c r="AZ46" s="82"/>
      <c r="BA46" s="82"/>
      <c r="BB46" s="82"/>
      <c r="BC46" s="82"/>
      <c r="BD46" s="82"/>
      <c r="BE46" s="82"/>
      <c r="BF46" s="82"/>
      <c r="BG46" s="82"/>
      <c r="BH46" s="84"/>
      <c r="BI46" s="82"/>
      <c r="BJ46" s="78"/>
      <c r="BL46" s="76" t="s">
        <v>1132</v>
      </c>
      <c r="BM46" s="76" t="s">
        <v>1252</v>
      </c>
    </row>
    <row r="47" spans="1:65" ht="21.4" customHeight="1">
      <c r="A47" s="78" t="str">
        <f t="shared" si="0"/>
        <v/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3"/>
      <c r="M47" s="82"/>
      <c r="N47" s="83"/>
      <c r="O47" s="84"/>
      <c r="P47" s="82"/>
      <c r="Q47" s="85"/>
      <c r="R47" s="82"/>
      <c r="S47" s="82"/>
      <c r="T47" s="82"/>
      <c r="U47" s="82"/>
      <c r="V47" s="82"/>
      <c r="W47" s="82"/>
      <c r="X47" s="82"/>
      <c r="Y47" s="82"/>
      <c r="Z47" s="82"/>
      <c r="AA47" s="85"/>
      <c r="AB47" s="85"/>
      <c r="AC47" s="85"/>
      <c r="AD47" s="84"/>
      <c r="AE47" s="82"/>
      <c r="AF47" s="82"/>
      <c r="AG47" s="85"/>
      <c r="AH47" s="85" t="str">
        <f t="shared" si="1"/>
        <v/>
      </c>
      <c r="AI47" s="85"/>
      <c r="AJ47" s="85"/>
      <c r="AK47" s="85" t="str">
        <f t="shared" si="2"/>
        <v/>
      </c>
      <c r="AL47" s="83" t="str">
        <f t="shared" si="3"/>
        <v/>
      </c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5"/>
      <c r="AX47" s="84"/>
      <c r="AY47" s="82"/>
      <c r="AZ47" s="82"/>
      <c r="BA47" s="82"/>
      <c r="BB47" s="82"/>
      <c r="BC47" s="82"/>
      <c r="BD47" s="82"/>
      <c r="BE47" s="82"/>
      <c r="BF47" s="82"/>
      <c r="BG47" s="82"/>
      <c r="BH47" s="84"/>
      <c r="BI47" s="82"/>
      <c r="BJ47" s="78"/>
      <c r="BL47" s="76" t="s">
        <v>1132</v>
      </c>
      <c r="BM47" s="76" t="s">
        <v>1253</v>
      </c>
    </row>
    <row r="48" spans="1:65" ht="21.4" customHeight="1">
      <c r="A48" s="78" t="str">
        <f t="shared" si="0"/>
        <v/>
      </c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3"/>
      <c r="M48" s="82"/>
      <c r="N48" s="83"/>
      <c r="O48" s="84"/>
      <c r="P48" s="82"/>
      <c r="Q48" s="85"/>
      <c r="R48" s="82"/>
      <c r="S48" s="82"/>
      <c r="T48" s="82"/>
      <c r="U48" s="82"/>
      <c r="V48" s="82"/>
      <c r="W48" s="82"/>
      <c r="X48" s="82"/>
      <c r="Y48" s="82"/>
      <c r="Z48" s="82"/>
      <c r="AA48" s="85"/>
      <c r="AB48" s="85"/>
      <c r="AC48" s="85"/>
      <c r="AD48" s="84"/>
      <c r="AE48" s="82"/>
      <c r="AF48" s="82"/>
      <c r="AG48" s="85"/>
      <c r="AH48" s="85" t="str">
        <f t="shared" si="1"/>
        <v/>
      </c>
      <c r="AI48" s="85"/>
      <c r="AJ48" s="85"/>
      <c r="AK48" s="85" t="str">
        <f t="shared" si="2"/>
        <v/>
      </c>
      <c r="AL48" s="83" t="str">
        <f t="shared" si="3"/>
        <v/>
      </c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5"/>
      <c r="AX48" s="84"/>
      <c r="AY48" s="82"/>
      <c r="AZ48" s="82"/>
      <c r="BA48" s="82"/>
      <c r="BB48" s="82"/>
      <c r="BC48" s="82"/>
      <c r="BD48" s="82"/>
      <c r="BE48" s="82"/>
      <c r="BF48" s="82"/>
      <c r="BG48" s="82"/>
      <c r="BH48" s="84"/>
      <c r="BI48" s="82"/>
      <c r="BJ48" s="78"/>
      <c r="BL48" s="76" t="s">
        <v>1188</v>
      </c>
      <c r="BM48" s="76" t="s">
        <v>1254</v>
      </c>
    </row>
    <row r="49" spans="1:65" ht="21.4" customHeight="1">
      <c r="A49" s="78" t="str">
        <f t="shared" si="0"/>
        <v/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3"/>
      <c r="M49" s="82"/>
      <c r="N49" s="83"/>
      <c r="O49" s="84"/>
      <c r="P49" s="82"/>
      <c r="Q49" s="85"/>
      <c r="R49" s="82"/>
      <c r="S49" s="82"/>
      <c r="T49" s="82"/>
      <c r="U49" s="82"/>
      <c r="V49" s="82"/>
      <c r="W49" s="82"/>
      <c r="X49" s="82"/>
      <c r="Y49" s="82"/>
      <c r="Z49" s="82"/>
      <c r="AA49" s="85"/>
      <c r="AB49" s="85"/>
      <c r="AC49" s="85"/>
      <c r="AD49" s="84"/>
      <c r="AE49" s="82"/>
      <c r="AF49" s="82"/>
      <c r="AG49" s="85"/>
      <c r="AH49" s="85" t="str">
        <f t="shared" si="1"/>
        <v/>
      </c>
      <c r="AI49" s="85"/>
      <c r="AJ49" s="85"/>
      <c r="AK49" s="85" t="str">
        <f t="shared" si="2"/>
        <v/>
      </c>
      <c r="AL49" s="83" t="str">
        <f t="shared" si="3"/>
        <v/>
      </c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5"/>
      <c r="AX49" s="84"/>
      <c r="AY49" s="82"/>
      <c r="AZ49" s="82"/>
      <c r="BA49" s="82"/>
      <c r="BB49" s="82"/>
      <c r="BC49" s="82"/>
      <c r="BD49" s="82"/>
      <c r="BE49" s="82"/>
      <c r="BF49" s="82"/>
      <c r="BG49" s="82"/>
      <c r="BH49" s="84"/>
      <c r="BI49" s="82"/>
      <c r="BJ49" s="78"/>
      <c r="BL49" s="76" t="s">
        <v>1188</v>
      </c>
      <c r="BM49" s="76" t="s">
        <v>1255</v>
      </c>
    </row>
    <row r="50" spans="1:65" ht="21.4" customHeight="1">
      <c r="A50" s="78" t="str">
        <f t="shared" si="0"/>
        <v/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3"/>
      <c r="M50" s="82"/>
      <c r="N50" s="83"/>
      <c r="O50" s="84"/>
      <c r="P50" s="82"/>
      <c r="Q50" s="85"/>
      <c r="R50" s="82"/>
      <c r="S50" s="82"/>
      <c r="T50" s="82"/>
      <c r="U50" s="82"/>
      <c r="V50" s="82"/>
      <c r="W50" s="82"/>
      <c r="X50" s="82"/>
      <c r="Y50" s="82"/>
      <c r="Z50" s="82"/>
      <c r="AA50" s="85"/>
      <c r="AB50" s="85"/>
      <c r="AC50" s="85"/>
      <c r="AD50" s="84"/>
      <c r="AE50" s="82"/>
      <c r="AF50" s="82"/>
      <c r="AG50" s="85"/>
      <c r="AH50" s="85" t="str">
        <f t="shared" si="1"/>
        <v/>
      </c>
      <c r="AI50" s="85"/>
      <c r="AJ50" s="85"/>
      <c r="AK50" s="85" t="str">
        <f t="shared" si="2"/>
        <v/>
      </c>
      <c r="AL50" s="83" t="str">
        <f t="shared" si="3"/>
        <v/>
      </c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5"/>
      <c r="AX50" s="84"/>
      <c r="AY50" s="82"/>
      <c r="AZ50" s="82"/>
      <c r="BA50" s="82"/>
      <c r="BB50" s="82"/>
      <c r="BC50" s="82"/>
      <c r="BD50" s="82"/>
      <c r="BE50" s="82"/>
      <c r="BF50" s="82"/>
      <c r="BG50" s="82"/>
      <c r="BH50" s="84"/>
      <c r="BI50" s="82"/>
      <c r="BJ50" s="78"/>
      <c r="BL50" s="76" t="s">
        <v>1188</v>
      </c>
      <c r="BM50" s="76" t="s">
        <v>1256</v>
      </c>
    </row>
    <row r="51" spans="1:65" ht="21.4" customHeight="1">
      <c r="A51" s="78" t="str">
        <f t="shared" si="0"/>
        <v/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3"/>
      <c r="M51" s="82"/>
      <c r="N51" s="83"/>
      <c r="O51" s="84"/>
      <c r="P51" s="82"/>
      <c r="Q51" s="85"/>
      <c r="R51" s="82"/>
      <c r="S51" s="82"/>
      <c r="T51" s="82"/>
      <c r="U51" s="82"/>
      <c r="V51" s="82"/>
      <c r="W51" s="82"/>
      <c r="X51" s="82"/>
      <c r="Y51" s="82"/>
      <c r="Z51" s="82"/>
      <c r="AA51" s="85"/>
      <c r="AB51" s="85"/>
      <c r="AC51" s="85"/>
      <c r="AD51" s="84"/>
      <c r="AE51" s="82"/>
      <c r="AF51" s="82"/>
      <c r="AG51" s="85"/>
      <c r="AH51" s="85" t="str">
        <f t="shared" si="1"/>
        <v/>
      </c>
      <c r="AI51" s="85"/>
      <c r="AJ51" s="85"/>
      <c r="AK51" s="85" t="str">
        <f t="shared" si="2"/>
        <v/>
      </c>
      <c r="AL51" s="83" t="str">
        <f t="shared" si="3"/>
        <v/>
      </c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5"/>
      <c r="AX51" s="84"/>
      <c r="AY51" s="82"/>
      <c r="AZ51" s="82"/>
      <c r="BA51" s="82"/>
      <c r="BB51" s="82"/>
      <c r="BC51" s="82"/>
      <c r="BD51" s="82"/>
      <c r="BE51" s="82"/>
      <c r="BF51" s="82"/>
      <c r="BG51" s="82"/>
      <c r="BH51" s="84"/>
      <c r="BI51" s="82"/>
      <c r="BJ51" s="78"/>
      <c r="BL51" s="76" t="s">
        <v>1188</v>
      </c>
      <c r="BM51" s="76" t="s">
        <v>1257</v>
      </c>
    </row>
    <row r="52" spans="1:65" ht="21.4" customHeight="1">
      <c r="A52" s="78" t="str">
        <f t="shared" si="0"/>
        <v/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3"/>
      <c r="M52" s="82"/>
      <c r="N52" s="83"/>
      <c r="O52" s="84"/>
      <c r="P52" s="82"/>
      <c r="Q52" s="85"/>
      <c r="R52" s="82"/>
      <c r="S52" s="82"/>
      <c r="T52" s="82"/>
      <c r="U52" s="82"/>
      <c r="V52" s="82"/>
      <c r="W52" s="82"/>
      <c r="X52" s="82"/>
      <c r="Y52" s="82"/>
      <c r="Z52" s="82"/>
      <c r="AA52" s="85"/>
      <c r="AB52" s="85"/>
      <c r="AC52" s="85"/>
      <c r="AD52" s="84"/>
      <c r="AE52" s="82"/>
      <c r="AF52" s="82"/>
      <c r="AG52" s="85"/>
      <c r="AH52" s="85" t="str">
        <f t="shared" si="1"/>
        <v/>
      </c>
      <c r="AI52" s="85"/>
      <c r="AJ52" s="85"/>
      <c r="AK52" s="85" t="str">
        <f t="shared" si="2"/>
        <v/>
      </c>
      <c r="AL52" s="83" t="str">
        <f t="shared" si="3"/>
        <v/>
      </c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5"/>
      <c r="AX52" s="84"/>
      <c r="AY52" s="82"/>
      <c r="AZ52" s="82"/>
      <c r="BA52" s="82"/>
      <c r="BB52" s="82"/>
      <c r="BC52" s="82"/>
      <c r="BD52" s="82"/>
      <c r="BE52" s="82"/>
      <c r="BF52" s="82"/>
      <c r="BG52" s="82"/>
      <c r="BH52" s="84"/>
      <c r="BI52" s="82"/>
      <c r="BJ52" s="78"/>
      <c r="BL52" s="76" t="s">
        <v>1188</v>
      </c>
      <c r="BM52" s="76" t="s">
        <v>1258</v>
      </c>
    </row>
    <row r="53" spans="1:65" ht="21.4" customHeight="1">
      <c r="A53" s="78" t="str">
        <f t="shared" si="0"/>
        <v/>
      </c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3"/>
      <c r="M53" s="82"/>
      <c r="N53" s="83"/>
      <c r="O53" s="84"/>
      <c r="P53" s="82"/>
      <c r="Q53" s="85"/>
      <c r="R53" s="82"/>
      <c r="S53" s="82"/>
      <c r="T53" s="82"/>
      <c r="U53" s="82"/>
      <c r="V53" s="82"/>
      <c r="W53" s="82"/>
      <c r="X53" s="82"/>
      <c r="Y53" s="82"/>
      <c r="Z53" s="82"/>
      <c r="AA53" s="85"/>
      <c r="AB53" s="85"/>
      <c r="AC53" s="85"/>
      <c r="AD53" s="84"/>
      <c r="AE53" s="82"/>
      <c r="AF53" s="82"/>
      <c r="AG53" s="85"/>
      <c r="AH53" s="85" t="str">
        <f t="shared" si="1"/>
        <v/>
      </c>
      <c r="AI53" s="85"/>
      <c r="AJ53" s="85"/>
      <c r="AK53" s="85" t="str">
        <f t="shared" si="2"/>
        <v/>
      </c>
      <c r="AL53" s="83" t="str">
        <f t="shared" si="3"/>
        <v/>
      </c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5"/>
      <c r="AX53" s="84"/>
      <c r="AY53" s="82"/>
      <c r="AZ53" s="82"/>
      <c r="BA53" s="82"/>
      <c r="BB53" s="82"/>
      <c r="BC53" s="82"/>
      <c r="BD53" s="82"/>
      <c r="BE53" s="82"/>
      <c r="BF53" s="82"/>
      <c r="BG53" s="82"/>
      <c r="BH53" s="84"/>
      <c r="BI53" s="82"/>
      <c r="BJ53" s="78"/>
      <c r="BL53" s="76" t="s">
        <v>1188</v>
      </c>
      <c r="BM53" s="76" t="s">
        <v>1259</v>
      </c>
    </row>
    <row r="54" spans="1:65" ht="21.4" customHeight="1">
      <c r="A54" s="78" t="str">
        <f t="shared" si="0"/>
        <v/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3"/>
      <c r="M54" s="82"/>
      <c r="N54" s="83"/>
      <c r="O54" s="84"/>
      <c r="P54" s="82"/>
      <c r="Q54" s="85"/>
      <c r="R54" s="82"/>
      <c r="S54" s="82"/>
      <c r="T54" s="82"/>
      <c r="U54" s="82"/>
      <c r="V54" s="82"/>
      <c r="W54" s="82"/>
      <c r="X54" s="82"/>
      <c r="Y54" s="82"/>
      <c r="Z54" s="82"/>
      <c r="AA54" s="85"/>
      <c r="AB54" s="85"/>
      <c r="AC54" s="85"/>
      <c r="AD54" s="84"/>
      <c r="AE54" s="82"/>
      <c r="AF54" s="82"/>
      <c r="AG54" s="85"/>
      <c r="AH54" s="85" t="str">
        <f t="shared" si="1"/>
        <v/>
      </c>
      <c r="AI54" s="85"/>
      <c r="AJ54" s="85"/>
      <c r="AK54" s="85" t="str">
        <f t="shared" si="2"/>
        <v/>
      </c>
      <c r="AL54" s="83" t="str">
        <f t="shared" si="3"/>
        <v/>
      </c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5"/>
      <c r="AX54" s="84"/>
      <c r="AY54" s="82"/>
      <c r="AZ54" s="82"/>
      <c r="BA54" s="82"/>
      <c r="BB54" s="82"/>
      <c r="BC54" s="82"/>
      <c r="BD54" s="82"/>
      <c r="BE54" s="82"/>
      <c r="BF54" s="82"/>
      <c r="BG54" s="82"/>
      <c r="BH54" s="84"/>
      <c r="BI54" s="82"/>
      <c r="BJ54" s="78"/>
      <c r="BL54" s="76" t="s">
        <v>1188</v>
      </c>
      <c r="BM54" s="76" t="s">
        <v>1260</v>
      </c>
    </row>
    <row r="55" spans="1:65" ht="21.4" customHeight="1">
      <c r="A55" s="78" t="str">
        <f t="shared" si="0"/>
        <v/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3"/>
      <c r="M55" s="82"/>
      <c r="N55" s="83"/>
      <c r="O55" s="84"/>
      <c r="P55" s="82"/>
      <c r="Q55" s="85"/>
      <c r="R55" s="82"/>
      <c r="S55" s="82"/>
      <c r="T55" s="82"/>
      <c r="U55" s="82"/>
      <c r="V55" s="82"/>
      <c r="W55" s="82"/>
      <c r="X55" s="82"/>
      <c r="Y55" s="82"/>
      <c r="Z55" s="82"/>
      <c r="AA55" s="85"/>
      <c r="AB55" s="85"/>
      <c r="AC55" s="85"/>
      <c r="AD55" s="84"/>
      <c r="AE55" s="82"/>
      <c r="AF55" s="82"/>
      <c r="AG55" s="85"/>
      <c r="AH55" s="85" t="str">
        <f t="shared" si="1"/>
        <v/>
      </c>
      <c r="AI55" s="85"/>
      <c r="AJ55" s="85"/>
      <c r="AK55" s="85" t="str">
        <f t="shared" si="2"/>
        <v/>
      </c>
      <c r="AL55" s="83" t="str">
        <f t="shared" si="3"/>
        <v/>
      </c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5"/>
      <c r="AX55" s="84"/>
      <c r="AY55" s="82"/>
      <c r="AZ55" s="82"/>
      <c r="BA55" s="82"/>
      <c r="BB55" s="82"/>
      <c r="BC55" s="82"/>
      <c r="BD55" s="82"/>
      <c r="BE55" s="82"/>
      <c r="BF55" s="82"/>
      <c r="BG55" s="82"/>
      <c r="BH55" s="84"/>
      <c r="BI55" s="82"/>
      <c r="BJ55" s="78"/>
      <c r="BL55" s="76" t="s">
        <v>1188</v>
      </c>
      <c r="BM55" s="76" t="s">
        <v>1261</v>
      </c>
    </row>
    <row r="56" spans="1:65" ht="21.4" customHeight="1">
      <c r="A56" s="78" t="str">
        <f t="shared" si="0"/>
        <v/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3"/>
      <c r="M56" s="82"/>
      <c r="N56" s="83"/>
      <c r="O56" s="84"/>
      <c r="P56" s="82"/>
      <c r="Q56" s="85"/>
      <c r="R56" s="82"/>
      <c r="S56" s="82"/>
      <c r="T56" s="82"/>
      <c r="U56" s="82"/>
      <c r="V56" s="82"/>
      <c r="W56" s="82"/>
      <c r="X56" s="82"/>
      <c r="Y56" s="82"/>
      <c r="Z56" s="82"/>
      <c r="AA56" s="85"/>
      <c r="AB56" s="85"/>
      <c r="AC56" s="85"/>
      <c r="AD56" s="84"/>
      <c r="AE56" s="82"/>
      <c r="AF56" s="82"/>
      <c r="AG56" s="85"/>
      <c r="AH56" s="85" t="str">
        <f t="shared" si="1"/>
        <v/>
      </c>
      <c r="AI56" s="85"/>
      <c r="AJ56" s="85"/>
      <c r="AK56" s="85" t="str">
        <f t="shared" si="2"/>
        <v/>
      </c>
      <c r="AL56" s="83" t="str">
        <f t="shared" si="3"/>
        <v/>
      </c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5"/>
      <c r="AX56" s="84"/>
      <c r="AY56" s="82"/>
      <c r="AZ56" s="82"/>
      <c r="BA56" s="82"/>
      <c r="BB56" s="82"/>
      <c r="BC56" s="82"/>
      <c r="BD56" s="82"/>
      <c r="BE56" s="82"/>
      <c r="BF56" s="82"/>
      <c r="BG56" s="82"/>
      <c r="BH56" s="84"/>
      <c r="BI56" s="82"/>
      <c r="BJ56" s="78"/>
      <c r="BL56" s="76" t="s">
        <v>1188</v>
      </c>
      <c r="BM56" s="76" t="s">
        <v>1262</v>
      </c>
    </row>
    <row r="57" spans="1:65" ht="21.4" customHeight="1">
      <c r="A57" s="78" t="str">
        <f t="shared" si="0"/>
        <v/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3"/>
      <c r="M57" s="82"/>
      <c r="N57" s="83"/>
      <c r="O57" s="84"/>
      <c r="P57" s="82"/>
      <c r="Q57" s="85"/>
      <c r="R57" s="82"/>
      <c r="S57" s="82"/>
      <c r="T57" s="82"/>
      <c r="U57" s="82"/>
      <c r="V57" s="82"/>
      <c r="W57" s="82"/>
      <c r="X57" s="82"/>
      <c r="Y57" s="82"/>
      <c r="Z57" s="82"/>
      <c r="AA57" s="85"/>
      <c r="AB57" s="85"/>
      <c r="AC57" s="85"/>
      <c r="AD57" s="84"/>
      <c r="AE57" s="82"/>
      <c r="AF57" s="82"/>
      <c r="AG57" s="85"/>
      <c r="AH57" s="85" t="str">
        <f t="shared" si="1"/>
        <v/>
      </c>
      <c r="AI57" s="85"/>
      <c r="AJ57" s="85"/>
      <c r="AK57" s="85" t="str">
        <f t="shared" si="2"/>
        <v/>
      </c>
      <c r="AL57" s="83" t="str">
        <f t="shared" si="3"/>
        <v/>
      </c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5"/>
      <c r="AX57" s="84"/>
      <c r="AY57" s="82"/>
      <c r="AZ57" s="82"/>
      <c r="BA57" s="82"/>
      <c r="BB57" s="82"/>
      <c r="BC57" s="82"/>
      <c r="BD57" s="82"/>
      <c r="BE57" s="82"/>
      <c r="BF57" s="82"/>
      <c r="BG57" s="82"/>
      <c r="BH57" s="84"/>
      <c r="BI57" s="82"/>
      <c r="BJ57" s="78"/>
      <c r="BL57" s="76" t="s">
        <v>1188</v>
      </c>
      <c r="BM57" s="76" t="s">
        <v>1263</v>
      </c>
    </row>
    <row r="58" spans="1:65" ht="21.4" customHeight="1">
      <c r="A58" s="78" t="str">
        <f t="shared" si="0"/>
        <v/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3"/>
      <c r="M58" s="82"/>
      <c r="N58" s="83"/>
      <c r="O58" s="84"/>
      <c r="P58" s="82"/>
      <c r="Q58" s="85"/>
      <c r="R58" s="82"/>
      <c r="S58" s="82"/>
      <c r="T58" s="82"/>
      <c r="U58" s="82"/>
      <c r="V58" s="82"/>
      <c r="W58" s="82"/>
      <c r="X58" s="82"/>
      <c r="Y58" s="82"/>
      <c r="Z58" s="82"/>
      <c r="AA58" s="85"/>
      <c r="AB58" s="85"/>
      <c r="AC58" s="85"/>
      <c r="AD58" s="84"/>
      <c r="AE58" s="82"/>
      <c r="AF58" s="82"/>
      <c r="AG58" s="85"/>
      <c r="AH58" s="85" t="str">
        <f t="shared" si="1"/>
        <v/>
      </c>
      <c r="AI58" s="85"/>
      <c r="AJ58" s="85"/>
      <c r="AK58" s="85" t="str">
        <f t="shared" si="2"/>
        <v/>
      </c>
      <c r="AL58" s="83" t="str">
        <f t="shared" si="3"/>
        <v/>
      </c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5"/>
      <c r="AX58" s="84"/>
      <c r="AY58" s="82"/>
      <c r="AZ58" s="82"/>
      <c r="BA58" s="82"/>
      <c r="BB58" s="82"/>
      <c r="BC58" s="82"/>
      <c r="BD58" s="82"/>
      <c r="BE58" s="82"/>
      <c r="BF58" s="82"/>
      <c r="BG58" s="82"/>
      <c r="BH58" s="84"/>
      <c r="BI58" s="82"/>
      <c r="BJ58" s="78"/>
      <c r="BL58" s="76" t="s">
        <v>1190</v>
      </c>
      <c r="BM58" s="76" t="s">
        <v>1264</v>
      </c>
    </row>
    <row r="59" spans="1:65" ht="21.4" customHeight="1">
      <c r="A59" s="78" t="str">
        <f t="shared" si="0"/>
        <v/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3"/>
      <c r="M59" s="82"/>
      <c r="N59" s="83"/>
      <c r="O59" s="84"/>
      <c r="P59" s="82"/>
      <c r="Q59" s="85"/>
      <c r="R59" s="82"/>
      <c r="S59" s="82"/>
      <c r="T59" s="82"/>
      <c r="U59" s="82"/>
      <c r="V59" s="82"/>
      <c r="W59" s="82"/>
      <c r="X59" s="82"/>
      <c r="Y59" s="82"/>
      <c r="Z59" s="82"/>
      <c r="AA59" s="85"/>
      <c r="AB59" s="85"/>
      <c r="AC59" s="85"/>
      <c r="AD59" s="84"/>
      <c r="AE59" s="82"/>
      <c r="AF59" s="82"/>
      <c r="AG59" s="85"/>
      <c r="AH59" s="85" t="str">
        <f t="shared" si="1"/>
        <v/>
      </c>
      <c r="AI59" s="85"/>
      <c r="AJ59" s="85"/>
      <c r="AK59" s="85" t="str">
        <f t="shared" si="2"/>
        <v/>
      </c>
      <c r="AL59" s="83" t="str">
        <f t="shared" si="3"/>
        <v/>
      </c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5"/>
      <c r="AX59" s="84"/>
      <c r="AY59" s="82"/>
      <c r="AZ59" s="82"/>
      <c r="BA59" s="82"/>
      <c r="BB59" s="82"/>
      <c r="BC59" s="82"/>
      <c r="BD59" s="82"/>
      <c r="BE59" s="82"/>
      <c r="BF59" s="82"/>
      <c r="BG59" s="82"/>
      <c r="BH59" s="84"/>
      <c r="BI59" s="82"/>
      <c r="BJ59" s="78"/>
      <c r="BL59" s="76" t="s">
        <v>1190</v>
      </c>
      <c r="BM59" s="76" t="s">
        <v>1265</v>
      </c>
    </row>
    <row r="60" spans="1:65" ht="21.4" customHeight="1">
      <c r="A60" s="78" t="str">
        <f t="shared" si="0"/>
        <v/>
      </c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3"/>
      <c r="M60" s="82"/>
      <c r="N60" s="83"/>
      <c r="O60" s="84"/>
      <c r="P60" s="82"/>
      <c r="Q60" s="85"/>
      <c r="R60" s="82"/>
      <c r="S60" s="82"/>
      <c r="T60" s="82"/>
      <c r="U60" s="82"/>
      <c r="V60" s="82"/>
      <c r="W60" s="82"/>
      <c r="X60" s="82"/>
      <c r="Y60" s="82"/>
      <c r="Z60" s="82"/>
      <c r="AA60" s="85"/>
      <c r="AB60" s="85"/>
      <c r="AC60" s="85"/>
      <c r="AD60" s="84"/>
      <c r="AE60" s="82"/>
      <c r="AF60" s="82"/>
      <c r="AG60" s="85"/>
      <c r="AH60" s="85" t="str">
        <f t="shared" si="1"/>
        <v/>
      </c>
      <c r="AI60" s="85"/>
      <c r="AJ60" s="85"/>
      <c r="AK60" s="85" t="str">
        <f t="shared" si="2"/>
        <v/>
      </c>
      <c r="AL60" s="83" t="str">
        <f t="shared" si="3"/>
        <v/>
      </c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5"/>
      <c r="AX60" s="84"/>
      <c r="AY60" s="82"/>
      <c r="AZ60" s="82"/>
      <c r="BA60" s="82"/>
      <c r="BB60" s="82"/>
      <c r="BC60" s="82"/>
      <c r="BD60" s="82"/>
      <c r="BE60" s="82"/>
      <c r="BF60" s="82"/>
      <c r="BG60" s="82"/>
      <c r="BH60" s="84"/>
      <c r="BI60" s="82"/>
      <c r="BJ60" s="78"/>
      <c r="BL60" s="76" t="s">
        <v>1190</v>
      </c>
      <c r="BM60" s="76" t="s">
        <v>1266</v>
      </c>
    </row>
    <row r="61" spans="1:65" ht="21.4" customHeight="1">
      <c r="A61" s="78" t="str">
        <f t="shared" si="0"/>
        <v/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3"/>
      <c r="M61" s="82"/>
      <c r="N61" s="83"/>
      <c r="O61" s="84"/>
      <c r="P61" s="82"/>
      <c r="Q61" s="85"/>
      <c r="R61" s="82"/>
      <c r="S61" s="82"/>
      <c r="T61" s="82"/>
      <c r="U61" s="82"/>
      <c r="V61" s="82"/>
      <c r="W61" s="82"/>
      <c r="X61" s="82"/>
      <c r="Y61" s="82"/>
      <c r="Z61" s="82"/>
      <c r="AA61" s="85"/>
      <c r="AB61" s="85"/>
      <c r="AC61" s="85"/>
      <c r="AD61" s="84"/>
      <c r="AE61" s="82"/>
      <c r="AF61" s="82"/>
      <c r="AG61" s="85"/>
      <c r="AH61" s="85" t="str">
        <f t="shared" si="1"/>
        <v/>
      </c>
      <c r="AI61" s="85"/>
      <c r="AJ61" s="85"/>
      <c r="AK61" s="85" t="str">
        <f t="shared" si="2"/>
        <v/>
      </c>
      <c r="AL61" s="83" t="str">
        <f t="shared" si="3"/>
        <v/>
      </c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5"/>
      <c r="AX61" s="84"/>
      <c r="AY61" s="82"/>
      <c r="AZ61" s="82"/>
      <c r="BA61" s="82"/>
      <c r="BB61" s="82"/>
      <c r="BC61" s="82"/>
      <c r="BD61" s="82"/>
      <c r="BE61" s="82"/>
      <c r="BF61" s="82"/>
      <c r="BG61" s="82"/>
      <c r="BH61" s="84"/>
      <c r="BI61" s="82"/>
      <c r="BJ61" s="78"/>
      <c r="BL61" s="76" t="s">
        <v>1190</v>
      </c>
      <c r="BM61" s="76" t="s">
        <v>1267</v>
      </c>
    </row>
    <row r="62" spans="1:65" ht="21.4" customHeight="1">
      <c r="A62" s="78" t="str">
        <f t="shared" si="0"/>
        <v/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3"/>
      <c r="M62" s="82"/>
      <c r="N62" s="83"/>
      <c r="O62" s="84"/>
      <c r="P62" s="82"/>
      <c r="Q62" s="85"/>
      <c r="R62" s="82"/>
      <c r="S62" s="82"/>
      <c r="T62" s="82"/>
      <c r="U62" s="82"/>
      <c r="V62" s="82"/>
      <c r="W62" s="82"/>
      <c r="X62" s="82"/>
      <c r="Y62" s="82"/>
      <c r="Z62" s="82"/>
      <c r="AA62" s="85"/>
      <c r="AB62" s="85"/>
      <c r="AC62" s="85"/>
      <c r="AD62" s="84"/>
      <c r="AE62" s="82"/>
      <c r="AF62" s="82"/>
      <c r="AG62" s="85"/>
      <c r="AH62" s="85" t="str">
        <f t="shared" si="1"/>
        <v/>
      </c>
      <c r="AI62" s="85"/>
      <c r="AJ62" s="85"/>
      <c r="AK62" s="85" t="str">
        <f t="shared" si="2"/>
        <v/>
      </c>
      <c r="AL62" s="83" t="str">
        <f t="shared" si="3"/>
        <v/>
      </c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5"/>
      <c r="AX62" s="84"/>
      <c r="AY62" s="82"/>
      <c r="AZ62" s="82"/>
      <c r="BA62" s="82"/>
      <c r="BB62" s="82"/>
      <c r="BC62" s="82"/>
      <c r="BD62" s="82"/>
      <c r="BE62" s="82"/>
      <c r="BF62" s="82"/>
      <c r="BG62" s="82"/>
      <c r="BH62" s="84"/>
      <c r="BI62" s="82"/>
      <c r="BJ62" s="78"/>
      <c r="BL62" s="76" t="s">
        <v>1190</v>
      </c>
      <c r="BM62" s="76" t="s">
        <v>1268</v>
      </c>
    </row>
    <row r="63" spans="1:65" ht="21.4" customHeight="1">
      <c r="A63" s="78" t="str">
        <f t="shared" si="0"/>
        <v/>
      </c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3"/>
      <c r="M63" s="82"/>
      <c r="N63" s="83"/>
      <c r="O63" s="84"/>
      <c r="P63" s="82"/>
      <c r="Q63" s="85"/>
      <c r="R63" s="82"/>
      <c r="S63" s="82"/>
      <c r="T63" s="82"/>
      <c r="U63" s="82"/>
      <c r="V63" s="82"/>
      <c r="W63" s="82"/>
      <c r="X63" s="82"/>
      <c r="Y63" s="82"/>
      <c r="Z63" s="82"/>
      <c r="AA63" s="85"/>
      <c r="AB63" s="85"/>
      <c r="AC63" s="85"/>
      <c r="AD63" s="84"/>
      <c r="AE63" s="82"/>
      <c r="AF63" s="82"/>
      <c r="AG63" s="85"/>
      <c r="AH63" s="85" t="str">
        <f t="shared" si="1"/>
        <v/>
      </c>
      <c r="AI63" s="85"/>
      <c r="AJ63" s="85"/>
      <c r="AK63" s="85" t="str">
        <f t="shared" si="2"/>
        <v/>
      </c>
      <c r="AL63" s="83" t="str">
        <f t="shared" si="3"/>
        <v/>
      </c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5"/>
      <c r="AX63" s="84"/>
      <c r="AY63" s="82"/>
      <c r="AZ63" s="82"/>
      <c r="BA63" s="82"/>
      <c r="BB63" s="82"/>
      <c r="BC63" s="82"/>
      <c r="BD63" s="82"/>
      <c r="BE63" s="82"/>
      <c r="BF63" s="82"/>
      <c r="BG63" s="82"/>
      <c r="BH63" s="84"/>
      <c r="BI63" s="82"/>
      <c r="BJ63" s="78"/>
      <c r="BL63" s="76" t="s">
        <v>1190</v>
      </c>
      <c r="BM63" s="76" t="s">
        <v>1269</v>
      </c>
    </row>
    <row r="64" spans="1:65" ht="21.4" customHeight="1">
      <c r="A64" s="78" t="str">
        <f t="shared" si="0"/>
        <v/>
      </c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3"/>
      <c r="M64" s="82"/>
      <c r="N64" s="83"/>
      <c r="O64" s="84"/>
      <c r="P64" s="82"/>
      <c r="Q64" s="85"/>
      <c r="R64" s="82"/>
      <c r="S64" s="82"/>
      <c r="T64" s="82"/>
      <c r="U64" s="82"/>
      <c r="V64" s="82"/>
      <c r="W64" s="82"/>
      <c r="X64" s="82"/>
      <c r="Y64" s="82"/>
      <c r="Z64" s="82"/>
      <c r="AA64" s="85"/>
      <c r="AB64" s="85"/>
      <c r="AC64" s="85"/>
      <c r="AD64" s="84"/>
      <c r="AE64" s="82"/>
      <c r="AF64" s="82"/>
      <c r="AG64" s="85"/>
      <c r="AH64" s="85" t="str">
        <f t="shared" si="1"/>
        <v/>
      </c>
      <c r="AI64" s="85"/>
      <c r="AJ64" s="85"/>
      <c r="AK64" s="85" t="str">
        <f t="shared" si="2"/>
        <v/>
      </c>
      <c r="AL64" s="83" t="str">
        <f t="shared" si="3"/>
        <v/>
      </c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5"/>
      <c r="AX64" s="84"/>
      <c r="AY64" s="82"/>
      <c r="AZ64" s="82"/>
      <c r="BA64" s="82"/>
      <c r="BB64" s="82"/>
      <c r="BC64" s="82"/>
      <c r="BD64" s="82"/>
      <c r="BE64" s="82"/>
      <c r="BF64" s="82"/>
      <c r="BG64" s="82"/>
      <c r="BH64" s="84"/>
      <c r="BI64" s="82"/>
      <c r="BJ64" s="78"/>
      <c r="BL64" s="76" t="s">
        <v>1190</v>
      </c>
      <c r="BM64" s="76" t="s">
        <v>1270</v>
      </c>
    </row>
    <row r="65" spans="1:65" ht="21.4" customHeight="1">
      <c r="A65" s="78" t="str">
        <f t="shared" si="0"/>
        <v/>
      </c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3"/>
      <c r="M65" s="82"/>
      <c r="N65" s="83"/>
      <c r="O65" s="84"/>
      <c r="P65" s="82"/>
      <c r="Q65" s="85"/>
      <c r="R65" s="82"/>
      <c r="S65" s="82"/>
      <c r="T65" s="82"/>
      <c r="U65" s="82"/>
      <c r="V65" s="82"/>
      <c r="W65" s="82"/>
      <c r="X65" s="82"/>
      <c r="Y65" s="82"/>
      <c r="Z65" s="82"/>
      <c r="AA65" s="85"/>
      <c r="AB65" s="85"/>
      <c r="AC65" s="85"/>
      <c r="AD65" s="84"/>
      <c r="AE65" s="82"/>
      <c r="AF65" s="82"/>
      <c r="AG65" s="85"/>
      <c r="AH65" s="85" t="str">
        <f t="shared" si="1"/>
        <v/>
      </c>
      <c r="AI65" s="85"/>
      <c r="AJ65" s="85"/>
      <c r="AK65" s="85" t="str">
        <f t="shared" si="2"/>
        <v/>
      </c>
      <c r="AL65" s="83" t="str">
        <f t="shared" si="3"/>
        <v/>
      </c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5"/>
      <c r="AX65" s="84"/>
      <c r="AY65" s="82"/>
      <c r="AZ65" s="82"/>
      <c r="BA65" s="82"/>
      <c r="BB65" s="82"/>
      <c r="BC65" s="82"/>
      <c r="BD65" s="82"/>
      <c r="BE65" s="82"/>
      <c r="BF65" s="82"/>
      <c r="BG65" s="82"/>
      <c r="BH65" s="84"/>
      <c r="BI65" s="82"/>
      <c r="BJ65" s="78"/>
      <c r="BL65" s="76" t="s">
        <v>1190</v>
      </c>
      <c r="BM65" s="76" t="s">
        <v>1271</v>
      </c>
    </row>
    <row r="66" spans="1:65" ht="21.4" customHeight="1">
      <c r="A66" s="78" t="str">
        <f t="shared" si="0"/>
        <v/>
      </c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3"/>
      <c r="M66" s="82"/>
      <c r="N66" s="83"/>
      <c r="O66" s="84"/>
      <c r="P66" s="82"/>
      <c r="Q66" s="85"/>
      <c r="R66" s="82"/>
      <c r="S66" s="82"/>
      <c r="T66" s="82"/>
      <c r="U66" s="82"/>
      <c r="V66" s="82"/>
      <c r="W66" s="82"/>
      <c r="X66" s="82"/>
      <c r="Y66" s="82"/>
      <c r="Z66" s="82"/>
      <c r="AA66" s="85"/>
      <c r="AB66" s="85"/>
      <c r="AC66" s="85"/>
      <c r="AD66" s="84"/>
      <c r="AE66" s="82"/>
      <c r="AF66" s="82"/>
      <c r="AG66" s="85"/>
      <c r="AH66" s="85" t="str">
        <f t="shared" si="1"/>
        <v/>
      </c>
      <c r="AI66" s="85"/>
      <c r="AJ66" s="85"/>
      <c r="AK66" s="85" t="str">
        <f t="shared" si="2"/>
        <v/>
      </c>
      <c r="AL66" s="83" t="str">
        <f t="shared" si="3"/>
        <v/>
      </c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5"/>
      <c r="AX66" s="84"/>
      <c r="AY66" s="82"/>
      <c r="AZ66" s="82"/>
      <c r="BA66" s="82"/>
      <c r="BB66" s="82"/>
      <c r="BC66" s="82"/>
      <c r="BD66" s="82"/>
      <c r="BE66" s="82"/>
      <c r="BF66" s="82"/>
      <c r="BG66" s="82"/>
      <c r="BH66" s="84"/>
      <c r="BI66" s="82"/>
      <c r="BJ66" s="78"/>
      <c r="BL66" s="76" t="s">
        <v>1190</v>
      </c>
      <c r="BM66" s="76" t="s">
        <v>1272</v>
      </c>
    </row>
    <row r="67" spans="1:65" ht="21.4" customHeight="1">
      <c r="A67" s="78" t="str">
        <f t="shared" si="0"/>
        <v/>
      </c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3"/>
      <c r="M67" s="82"/>
      <c r="N67" s="83"/>
      <c r="O67" s="84"/>
      <c r="P67" s="82"/>
      <c r="Q67" s="85"/>
      <c r="R67" s="82"/>
      <c r="S67" s="82"/>
      <c r="T67" s="82"/>
      <c r="U67" s="82"/>
      <c r="V67" s="82"/>
      <c r="W67" s="82"/>
      <c r="X67" s="82"/>
      <c r="Y67" s="82"/>
      <c r="Z67" s="82"/>
      <c r="AA67" s="85"/>
      <c r="AB67" s="85"/>
      <c r="AC67" s="85"/>
      <c r="AD67" s="84"/>
      <c r="AE67" s="82"/>
      <c r="AF67" s="82"/>
      <c r="AG67" s="85"/>
      <c r="AH67" s="85" t="str">
        <f t="shared" si="1"/>
        <v/>
      </c>
      <c r="AI67" s="85"/>
      <c r="AJ67" s="85"/>
      <c r="AK67" s="85" t="str">
        <f t="shared" si="2"/>
        <v/>
      </c>
      <c r="AL67" s="83" t="str">
        <f t="shared" si="3"/>
        <v/>
      </c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5"/>
      <c r="AX67" s="84"/>
      <c r="AY67" s="82"/>
      <c r="AZ67" s="82"/>
      <c r="BA67" s="82"/>
      <c r="BB67" s="82"/>
      <c r="BC67" s="82"/>
      <c r="BD67" s="82"/>
      <c r="BE67" s="82"/>
      <c r="BF67" s="82"/>
      <c r="BG67" s="82"/>
      <c r="BH67" s="84"/>
      <c r="BI67" s="82"/>
      <c r="BJ67" s="78"/>
      <c r="BL67" s="76" t="s">
        <v>1190</v>
      </c>
      <c r="BM67" s="76" t="s">
        <v>1273</v>
      </c>
    </row>
    <row r="68" spans="1:65" ht="21.4" customHeight="1">
      <c r="A68" s="78" t="str">
        <f t="shared" si="0"/>
        <v/>
      </c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3"/>
      <c r="M68" s="82"/>
      <c r="N68" s="83"/>
      <c r="O68" s="84"/>
      <c r="P68" s="82"/>
      <c r="Q68" s="85"/>
      <c r="R68" s="82"/>
      <c r="S68" s="82"/>
      <c r="T68" s="82"/>
      <c r="U68" s="82"/>
      <c r="V68" s="82"/>
      <c r="W68" s="82"/>
      <c r="X68" s="82"/>
      <c r="Y68" s="82"/>
      <c r="Z68" s="82"/>
      <c r="AA68" s="85"/>
      <c r="AB68" s="85"/>
      <c r="AC68" s="85"/>
      <c r="AD68" s="84"/>
      <c r="AE68" s="82"/>
      <c r="AF68" s="82"/>
      <c r="AG68" s="85"/>
      <c r="AH68" s="85" t="str">
        <f t="shared" si="1"/>
        <v/>
      </c>
      <c r="AI68" s="85"/>
      <c r="AJ68" s="85"/>
      <c r="AK68" s="85" t="str">
        <f t="shared" si="2"/>
        <v/>
      </c>
      <c r="AL68" s="83" t="str">
        <f t="shared" si="3"/>
        <v/>
      </c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5"/>
      <c r="AX68" s="84"/>
      <c r="AY68" s="82"/>
      <c r="AZ68" s="82"/>
      <c r="BA68" s="82"/>
      <c r="BB68" s="82"/>
      <c r="BC68" s="82"/>
      <c r="BD68" s="82"/>
      <c r="BE68" s="82"/>
      <c r="BF68" s="82"/>
      <c r="BG68" s="82"/>
      <c r="BH68" s="84"/>
      <c r="BI68" s="82"/>
      <c r="BJ68" s="78"/>
      <c r="BL68" s="76" t="s">
        <v>1190</v>
      </c>
      <c r="BM68" s="76" t="s">
        <v>1274</v>
      </c>
    </row>
    <row r="69" spans="1:65" ht="21.4" customHeight="1">
      <c r="A69" s="78" t="str">
        <f t="shared" si="0"/>
        <v/>
      </c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3"/>
      <c r="M69" s="82"/>
      <c r="N69" s="83"/>
      <c r="O69" s="84"/>
      <c r="P69" s="82"/>
      <c r="Q69" s="85"/>
      <c r="R69" s="82"/>
      <c r="S69" s="82"/>
      <c r="T69" s="82"/>
      <c r="U69" s="82"/>
      <c r="V69" s="82"/>
      <c r="W69" s="82"/>
      <c r="X69" s="82"/>
      <c r="Y69" s="82"/>
      <c r="Z69" s="82"/>
      <c r="AA69" s="85"/>
      <c r="AB69" s="85"/>
      <c r="AC69" s="85"/>
      <c r="AD69" s="84"/>
      <c r="AE69" s="82"/>
      <c r="AF69" s="82"/>
      <c r="AG69" s="85"/>
      <c r="AH69" s="85" t="str">
        <f t="shared" si="1"/>
        <v/>
      </c>
      <c r="AI69" s="85"/>
      <c r="AJ69" s="85"/>
      <c r="AK69" s="85" t="str">
        <f t="shared" si="2"/>
        <v/>
      </c>
      <c r="AL69" s="83" t="str">
        <f t="shared" si="3"/>
        <v/>
      </c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5"/>
      <c r="AX69" s="84"/>
      <c r="AY69" s="82"/>
      <c r="AZ69" s="82"/>
      <c r="BA69" s="82"/>
      <c r="BB69" s="82"/>
      <c r="BC69" s="82"/>
      <c r="BD69" s="82"/>
      <c r="BE69" s="82"/>
      <c r="BF69" s="82"/>
      <c r="BG69" s="82"/>
      <c r="BH69" s="84"/>
      <c r="BI69" s="82"/>
      <c r="BJ69" s="78"/>
      <c r="BL69" s="76" t="s">
        <v>1190</v>
      </c>
      <c r="BM69" s="76" t="s">
        <v>1275</v>
      </c>
    </row>
    <row r="70" spans="1:65" ht="21.4" customHeight="1">
      <c r="A70" s="78" t="str">
        <f t="shared" ref="A70:A133" si="4">IF(D70="","","ACT-"&amp;TEXT(ROW()-5,"0000"))</f>
        <v/>
      </c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3"/>
      <c r="M70" s="82"/>
      <c r="N70" s="83"/>
      <c r="O70" s="84"/>
      <c r="P70" s="82"/>
      <c r="Q70" s="85"/>
      <c r="R70" s="82"/>
      <c r="S70" s="82"/>
      <c r="T70" s="82"/>
      <c r="U70" s="82"/>
      <c r="V70" s="82"/>
      <c r="W70" s="82"/>
      <c r="X70" s="82"/>
      <c r="Y70" s="82"/>
      <c r="Z70" s="82"/>
      <c r="AA70" s="85"/>
      <c r="AB70" s="85"/>
      <c r="AC70" s="85"/>
      <c r="AD70" s="84"/>
      <c r="AE70" s="82"/>
      <c r="AF70" s="82"/>
      <c r="AG70" s="85"/>
      <c r="AH70" s="85" t="str">
        <f t="shared" ref="AH70:AH133" si="5">IF(AC70="","",AC70-IF(AG70="",0,AG70))</f>
        <v/>
      </c>
      <c r="AI70" s="85"/>
      <c r="AJ70" s="85"/>
      <c r="AK70" s="85" t="str">
        <f t="shared" ref="AK70:AK133" si="6">IF(AND(AI70="",AJ70=""),"",IF(AI70="",0,AI70)-IF(AJ70="",0,AJ70))</f>
        <v/>
      </c>
      <c r="AL70" s="83" t="str">
        <f t="shared" ref="AL70:AL133" si="7">IFERROR(AK70/AC70,"")</f>
        <v/>
      </c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5"/>
      <c r="AX70" s="84"/>
      <c r="AY70" s="82"/>
      <c r="AZ70" s="82"/>
      <c r="BA70" s="82"/>
      <c r="BB70" s="82"/>
      <c r="BC70" s="82"/>
      <c r="BD70" s="82"/>
      <c r="BE70" s="82"/>
      <c r="BF70" s="82"/>
      <c r="BG70" s="82"/>
      <c r="BH70" s="84"/>
      <c r="BI70" s="82"/>
      <c r="BJ70" s="78"/>
      <c r="BL70" s="76" t="s">
        <v>1192</v>
      </c>
      <c r="BM70" s="76" t="s">
        <v>1276</v>
      </c>
    </row>
    <row r="71" spans="1:65" ht="21.4" customHeight="1">
      <c r="A71" s="78" t="str">
        <f t="shared" si="4"/>
        <v/>
      </c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3"/>
      <c r="M71" s="82"/>
      <c r="N71" s="83"/>
      <c r="O71" s="84"/>
      <c r="P71" s="82"/>
      <c r="Q71" s="85"/>
      <c r="R71" s="82"/>
      <c r="S71" s="82"/>
      <c r="T71" s="82"/>
      <c r="U71" s="82"/>
      <c r="V71" s="82"/>
      <c r="W71" s="82"/>
      <c r="X71" s="82"/>
      <c r="Y71" s="82"/>
      <c r="Z71" s="82"/>
      <c r="AA71" s="85"/>
      <c r="AB71" s="85"/>
      <c r="AC71" s="85"/>
      <c r="AD71" s="84"/>
      <c r="AE71" s="82"/>
      <c r="AF71" s="82"/>
      <c r="AG71" s="85"/>
      <c r="AH71" s="85" t="str">
        <f t="shared" si="5"/>
        <v/>
      </c>
      <c r="AI71" s="85"/>
      <c r="AJ71" s="85"/>
      <c r="AK71" s="85" t="str">
        <f t="shared" si="6"/>
        <v/>
      </c>
      <c r="AL71" s="83" t="str">
        <f t="shared" si="7"/>
        <v/>
      </c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5"/>
      <c r="AX71" s="84"/>
      <c r="AY71" s="82"/>
      <c r="AZ71" s="82"/>
      <c r="BA71" s="82"/>
      <c r="BB71" s="82"/>
      <c r="BC71" s="82"/>
      <c r="BD71" s="82"/>
      <c r="BE71" s="82"/>
      <c r="BF71" s="82"/>
      <c r="BG71" s="82"/>
      <c r="BH71" s="84"/>
      <c r="BI71" s="82"/>
      <c r="BJ71" s="78"/>
      <c r="BL71" s="76" t="s">
        <v>1192</v>
      </c>
      <c r="BM71" s="76" t="s">
        <v>1277</v>
      </c>
    </row>
    <row r="72" spans="1:65" ht="21.4" customHeight="1">
      <c r="A72" s="78" t="str">
        <f t="shared" si="4"/>
        <v/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3"/>
      <c r="M72" s="82"/>
      <c r="N72" s="83"/>
      <c r="O72" s="84"/>
      <c r="P72" s="82"/>
      <c r="Q72" s="85"/>
      <c r="R72" s="82"/>
      <c r="S72" s="82"/>
      <c r="T72" s="82"/>
      <c r="U72" s="82"/>
      <c r="V72" s="82"/>
      <c r="W72" s="82"/>
      <c r="X72" s="82"/>
      <c r="Y72" s="82"/>
      <c r="Z72" s="82"/>
      <c r="AA72" s="85"/>
      <c r="AB72" s="85"/>
      <c r="AC72" s="85"/>
      <c r="AD72" s="84"/>
      <c r="AE72" s="82"/>
      <c r="AF72" s="82"/>
      <c r="AG72" s="85"/>
      <c r="AH72" s="85" t="str">
        <f t="shared" si="5"/>
        <v/>
      </c>
      <c r="AI72" s="85"/>
      <c r="AJ72" s="85"/>
      <c r="AK72" s="85" t="str">
        <f t="shared" si="6"/>
        <v/>
      </c>
      <c r="AL72" s="83" t="str">
        <f t="shared" si="7"/>
        <v/>
      </c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5"/>
      <c r="AX72" s="84"/>
      <c r="AY72" s="82"/>
      <c r="AZ72" s="82"/>
      <c r="BA72" s="82"/>
      <c r="BB72" s="82"/>
      <c r="BC72" s="82"/>
      <c r="BD72" s="82"/>
      <c r="BE72" s="82"/>
      <c r="BF72" s="82"/>
      <c r="BG72" s="82"/>
      <c r="BH72" s="84"/>
      <c r="BI72" s="82"/>
      <c r="BJ72" s="78"/>
      <c r="BL72" s="76" t="s">
        <v>1192</v>
      </c>
      <c r="BM72" s="76" t="s">
        <v>1278</v>
      </c>
    </row>
    <row r="73" spans="1:65" ht="21.4" customHeight="1">
      <c r="A73" s="78" t="str">
        <f t="shared" si="4"/>
        <v/>
      </c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3"/>
      <c r="M73" s="82"/>
      <c r="N73" s="83"/>
      <c r="O73" s="84"/>
      <c r="P73" s="82"/>
      <c r="Q73" s="85"/>
      <c r="R73" s="82"/>
      <c r="S73" s="82"/>
      <c r="T73" s="82"/>
      <c r="U73" s="82"/>
      <c r="V73" s="82"/>
      <c r="W73" s="82"/>
      <c r="X73" s="82"/>
      <c r="Y73" s="82"/>
      <c r="Z73" s="82"/>
      <c r="AA73" s="85"/>
      <c r="AB73" s="85"/>
      <c r="AC73" s="85"/>
      <c r="AD73" s="84"/>
      <c r="AE73" s="82"/>
      <c r="AF73" s="82"/>
      <c r="AG73" s="85"/>
      <c r="AH73" s="85" t="str">
        <f t="shared" si="5"/>
        <v/>
      </c>
      <c r="AI73" s="85"/>
      <c r="AJ73" s="85"/>
      <c r="AK73" s="85" t="str">
        <f t="shared" si="6"/>
        <v/>
      </c>
      <c r="AL73" s="83" t="str">
        <f t="shared" si="7"/>
        <v/>
      </c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5"/>
      <c r="AX73" s="84"/>
      <c r="AY73" s="82"/>
      <c r="AZ73" s="82"/>
      <c r="BA73" s="82"/>
      <c r="BB73" s="82"/>
      <c r="BC73" s="82"/>
      <c r="BD73" s="82"/>
      <c r="BE73" s="82"/>
      <c r="BF73" s="82"/>
      <c r="BG73" s="82"/>
      <c r="BH73" s="84"/>
      <c r="BI73" s="82"/>
      <c r="BJ73" s="78"/>
      <c r="BL73" s="76" t="s">
        <v>1192</v>
      </c>
      <c r="BM73" s="76" t="s">
        <v>1279</v>
      </c>
    </row>
    <row r="74" spans="1:65" ht="21.4" customHeight="1">
      <c r="A74" s="78" t="str">
        <f t="shared" si="4"/>
        <v/>
      </c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3"/>
      <c r="M74" s="82"/>
      <c r="N74" s="83"/>
      <c r="O74" s="84"/>
      <c r="P74" s="82"/>
      <c r="Q74" s="85"/>
      <c r="R74" s="82"/>
      <c r="S74" s="82"/>
      <c r="T74" s="82"/>
      <c r="U74" s="82"/>
      <c r="V74" s="82"/>
      <c r="W74" s="82"/>
      <c r="X74" s="82"/>
      <c r="Y74" s="82"/>
      <c r="Z74" s="82"/>
      <c r="AA74" s="85"/>
      <c r="AB74" s="85"/>
      <c r="AC74" s="85"/>
      <c r="AD74" s="84"/>
      <c r="AE74" s="82"/>
      <c r="AF74" s="82"/>
      <c r="AG74" s="85"/>
      <c r="AH74" s="85" t="str">
        <f t="shared" si="5"/>
        <v/>
      </c>
      <c r="AI74" s="85"/>
      <c r="AJ74" s="85"/>
      <c r="AK74" s="85" t="str">
        <f t="shared" si="6"/>
        <v/>
      </c>
      <c r="AL74" s="83" t="str">
        <f t="shared" si="7"/>
        <v/>
      </c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5"/>
      <c r="AX74" s="84"/>
      <c r="AY74" s="82"/>
      <c r="AZ74" s="82"/>
      <c r="BA74" s="82"/>
      <c r="BB74" s="82"/>
      <c r="BC74" s="82"/>
      <c r="BD74" s="82"/>
      <c r="BE74" s="82"/>
      <c r="BF74" s="82"/>
      <c r="BG74" s="82"/>
      <c r="BH74" s="84"/>
      <c r="BI74" s="82"/>
      <c r="BJ74" s="78"/>
      <c r="BL74" s="76" t="s">
        <v>1192</v>
      </c>
      <c r="BM74" s="76" t="s">
        <v>1280</v>
      </c>
    </row>
    <row r="75" spans="1:65" ht="21.4" customHeight="1">
      <c r="A75" s="78" t="str">
        <f t="shared" si="4"/>
        <v/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3"/>
      <c r="M75" s="82"/>
      <c r="N75" s="83"/>
      <c r="O75" s="84"/>
      <c r="P75" s="82"/>
      <c r="Q75" s="85"/>
      <c r="R75" s="82"/>
      <c r="S75" s="82"/>
      <c r="T75" s="82"/>
      <c r="U75" s="82"/>
      <c r="V75" s="82"/>
      <c r="W75" s="82"/>
      <c r="X75" s="82"/>
      <c r="Y75" s="82"/>
      <c r="Z75" s="82"/>
      <c r="AA75" s="85"/>
      <c r="AB75" s="85"/>
      <c r="AC75" s="85"/>
      <c r="AD75" s="84"/>
      <c r="AE75" s="82"/>
      <c r="AF75" s="82"/>
      <c r="AG75" s="85"/>
      <c r="AH75" s="85" t="str">
        <f t="shared" si="5"/>
        <v/>
      </c>
      <c r="AI75" s="85"/>
      <c r="AJ75" s="85"/>
      <c r="AK75" s="85" t="str">
        <f t="shared" si="6"/>
        <v/>
      </c>
      <c r="AL75" s="83" t="str">
        <f t="shared" si="7"/>
        <v/>
      </c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5"/>
      <c r="AX75" s="84"/>
      <c r="AY75" s="82"/>
      <c r="AZ75" s="82"/>
      <c r="BA75" s="82"/>
      <c r="BB75" s="82"/>
      <c r="BC75" s="82"/>
      <c r="BD75" s="82"/>
      <c r="BE75" s="82"/>
      <c r="BF75" s="82"/>
      <c r="BG75" s="82"/>
      <c r="BH75" s="84"/>
      <c r="BI75" s="82"/>
      <c r="BJ75" s="78"/>
      <c r="BL75" s="76" t="s">
        <v>1192</v>
      </c>
      <c r="BM75" s="76" t="s">
        <v>1281</v>
      </c>
    </row>
    <row r="76" spans="1:65" ht="21.4" customHeight="1">
      <c r="A76" s="78" t="str">
        <f t="shared" si="4"/>
        <v/>
      </c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3"/>
      <c r="M76" s="82"/>
      <c r="N76" s="83"/>
      <c r="O76" s="84"/>
      <c r="P76" s="82"/>
      <c r="Q76" s="85"/>
      <c r="R76" s="82"/>
      <c r="S76" s="82"/>
      <c r="T76" s="82"/>
      <c r="U76" s="82"/>
      <c r="V76" s="82"/>
      <c r="W76" s="82"/>
      <c r="X76" s="82"/>
      <c r="Y76" s="82"/>
      <c r="Z76" s="82"/>
      <c r="AA76" s="85"/>
      <c r="AB76" s="85"/>
      <c r="AC76" s="85"/>
      <c r="AD76" s="84"/>
      <c r="AE76" s="82"/>
      <c r="AF76" s="82"/>
      <c r="AG76" s="85"/>
      <c r="AH76" s="85" t="str">
        <f t="shared" si="5"/>
        <v/>
      </c>
      <c r="AI76" s="85"/>
      <c r="AJ76" s="85"/>
      <c r="AK76" s="85" t="str">
        <f t="shared" si="6"/>
        <v/>
      </c>
      <c r="AL76" s="83" t="str">
        <f t="shared" si="7"/>
        <v/>
      </c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5"/>
      <c r="AX76" s="84"/>
      <c r="AY76" s="82"/>
      <c r="AZ76" s="82"/>
      <c r="BA76" s="82"/>
      <c r="BB76" s="82"/>
      <c r="BC76" s="82"/>
      <c r="BD76" s="82"/>
      <c r="BE76" s="82"/>
      <c r="BF76" s="82"/>
      <c r="BG76" s="82"/>
      <c r="BH76" s="84"/>
      <c r="BI76" s="82"/>
      <c r="BJ76" s="78"/>
      <c r="BL76" s="76" t="s">
        <v>1192</v>
      </c>
      <c r="BM76" s="76" t="s">
        <v>1282</v>
      </c>
    </row>
    <row r="77" spans="1:65" ht="21.4" customHeight="1">
      <c r="A77" s="78" t="str">
        <f t="shared" si="4"/>
        <v/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3"/>
      <c r="M77" s="82"/>
      <c r="N77" s="83"/>
      <c r="O77" s="84"/>
      <c r="P77" s="82"/>
      <c r="Q77" s="85"/>
      <c r="R77" s="82"/>
      <c r="S77" s="82"/>
      <c r="T77" s="82"/>
      <c r="U77" s="82"/>
      <c r="V77" s="82"/>
      <c r="W77" s="82"/>
      <c r="X77" s="82"/>
      <c r="Y77" s="82"/>
      <c r="Z77" s="82"/>
      <c r="AA77" s="85"/>
      <c r="AB77" s="85"/>
      <c r="AC77" s="85"/>
      <c r="AD77" s="84"/>
      <c r="AE77" s="82"/>
      <c r="AF77" s="82"/>
      <c r="AG77" s="85"/>
      <c r="AH77" s="85" t="str">
        <f t="shared" si="5"/>
        <v/>
      </c>
      <c r="AI77" s="85"/>
      <c r="AJ77" s="85"/>
      <c r="AK77" s="85" t="str">
        <f t="shared" si="6"/>
        <v/>
      </c>
      <c r="AL77" s="83" t="str">
        <f t="shared" si="7"/>
        <v/>
      </c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5"/>
      <c r="AX77" s="84"/>
      <c r="AY77" s="82"/>
      <c r="AZ77" s="82"/>
      <c r="BA77" s="82"/>
      <c r="BB77" s="82"/>
      <c r="BC77" s="82"/>
      <c r="BD77" s="82"/>
      <c r="BE77" s="82"/>
      <c r="BF77" s="82"/>
      <c r="BG77" s="82"/>
      <c r="BH77" s="84"/>
      <c r="BI77" s="82"/>
      <c r="BJ77" s="78"/>
      <c r="BL77" s="76" t="s">
        <v>1192</v>
      </c>
      <c r="BM77" s="76" t="s">
        <v>1283</v>
      </c>
    </row>
    <row r="78" spans="1:65" ht="21.4" customHeight="1">
      <c r="A78" s="78" t="str">
        <f t="shared" si="4"/>
        <v/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3"/>
      <c r="M78" s="82"/>
      <c r="N78" s="83"/>
      <c r="O78" s="84"/>
      <c r="P78" s="82"/>
      <c r="Q78" s="85"/>
      <c r="R78" s="82"/>
      <c r="S78" s="82"/>
      <c r="T78" s="82"/>
      <c r="U78" s="82"/>
      <c r="V78" s="82"/>
      <c r="W78" s="82"/>
      <c r="X78" s="82"/>
      <c r="Y78" s="82"/>
      <c r="Z78" s="82"/>
      <c r="AA78" s="85"/>
      <c r="AB78" s="85"/>
      <c r="AC78" s="85"/>
      <c r="AD78" s="84"/>
      <c r="AE78" s="82"/>
      <c r="AF78" s="82"/>
      <c r="AG78" s="85"/>
      <c r="AH78" s="85" t="str">
        <f t="shared" si="5"/>
        <v/>
      </c>
      <c r="AI78" s="85"/>
      <c r="AJ78" s="85"/>
      <c r="AK78" s="85" t="str">
        <f t="shared" si="6"/>
        <v/>
      </c>
      <c r="AL78" s="83" t="str">
        <f t="shared" si="7"/>
        <v/>
      </c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5"/>
      <c r="AX78" s="84"/>
      <c r="AY78" s="82"/>
      <c r="AZ78" s="82"/>
      <c r="BA78" s="82"/>
      <c r="BB78" s="82"/>
      <c r="BC78" s="82"/>
      <c r="BD78" s="82"/>
      <c r="BE78" s="82"/>
      <c r="BF78" s="82"/>
      <c r="BG78" s="82"/>
      <c r="BH78" s="84"/>
      <c r="BI78" s="82"/>
      <c r="BJ78" s="78"/>
      <c r="BL78" s="76" t="s">
        <v>1192</v>
      </c>
      <c r="BM78" s="76" t="s">
        <v>1284</v>
      </c>
    </row>
    <row r="79" spans="1:65" ht="21.4" customHeight="1">
      <c r="A79" s="78" t="str">
        <f t="shared" si="4"/>
        <v/>
      </c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3"/>
      <c r="M79" s="82"/>
      <c r="N79" s="83"/>
      <c r="O79" s="84"/>
      <c r="P79" s="82"/>
      <c r="Q79" s="85"/>
      <c r="R79" s="82"/>
      <c r="S79" s="82"/>
      <c r="T79" s="82"/>
      <c r="U79" s="82"/>
      <c r="V79" s="82"/>
      <c r="W79" s="82"/>
      <c r="X79" s="82"/>
      <c r="Y79" s="82"/>
      <c r="Z79" s="82"/>
      <c r="AA79" s="85"/>
      <c r="AB79" s="85"/>
      <c r="AC79" s="85"/>
      <c r="AD79" s="84"/>
      <c r="AE79" s="82"/>
      <c r="AF79" s="82"/>
      <c r="AG79" s="85"/>
      <c r="AH79" s="85" t="str">
        <f t="shared" si="5"/>
        <v/>
      </c>
      <c r="AI79" s="85"/>
      <c r="AJ79" s="85"/>
      <c r="AK79" s="85" t="str">
        <f t="shared" si="6"/>
        <v/>
      </c>
      <c r="AL79" s="83" t="str">
        <f t="shared" si="7"/>
        <v/>
      </c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5"/>
      <c r="AX79" s="84"/>
      <c r="AY79" s="82"/>
      <c r="AZ79" s="82"/>
      <c r="BA79" s="82"/>
      <c r="BB79" s="82"/>
      <c r="BC79" s="82"/>
      <c r="BD79" s="82"/>
      <c r="BE79" s="82"/>
      <c r="BF79" s="82"/>
      <c r="BG79" s="82"/>
      <c r="BH79" s="84"/>
      <c r="BI79" s="82"/>
      <c r="BJ79" s="78"/>
      <c r="BL79" s="76" t="s">
        <v>1192</v>
      </c>
      <c r="BM79" s="76" t="s">
        <v>1285</v>
      </c>
    </row>
    <row r="80" spans="1:65" ht="21.4" customHeight="1">
      <c r="A80" s="78" t="str">
        <f t="shared" si="4"/>
        <v/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3"/>
      <c r="M80" s="82"/>
      <c r="N80" s="83"/>
      <c r="O80" s="84"/>
      <c r="P80" s="82"/>
      <c r="Q80" s="85"/>
      <c r="R80" s="82"/>
      <c r="S80" s="82"/>
      <c r="T80" s="82"/>
      <c r="U80" s="82"/>
      <c r="V80" s="82"/>
      <c r="W80" s="82"/>
      <c r="X80" s="82"/>
      <c r="Y80" s="82"/>
      <c r="Z80" s="82"/>
      <c r="AA80" s="85"/>
      <c r="AB80" s="85"/>
      <c r="AC80" s="85"/>
      <c r="AD80" s="84"/>
      <c r="AE80" s="82"/>
      <c r="AF80" s="82"/>
      <c r="AG80" s="85"/>
      <c r="AH80" s="85" t="str">
        <f t="shared" si="5"/>
        <v/>
      </c>
      <c r="AI80" s="85"/>
      <c r="AJ80" s="85"/>
      <c r="AK80" s="85" t="str">
        <f t="shared" si="6"/>
        <v/>
      </c>
      <c r="AL80" s="83" t="str">
        <f t="shared" si="7"/>
        <v/>
      </c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5"/>
      <c r="AX80" s="84"/>
      <c r="AY80" s="82"/>
      <c r="AZ80" s="82"/>
      <c r="BA80" s="82"/>
      <c r="BB80" s="82"/>
      <c r="BC80" s="82"/>
      <c r="BD80" s="82"/>
      <c r="BE80" s="82"/>
      <c r="BF80" s="82"/>
      <c r="BG80" s="82"/>
      <c r="BH80" s="84"/>
      <c r="BI80" s="82"/>
      <c r="BJ80" s="78"/>
      <c r="BL80" s="76" t="s">
        <v>1194</v>
      </c>
      <c r="BM80" s="76" t="s">
        <v>1286</v>
      </c>
    </row>
    <row r="81" spans="1:65" ht="21.4" customHeight="1">
      <c r="A81" s="78" t="str">
        <f t="shared" si="4"/>
        <v/>
      </c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3"/>
      <c r="M81" s="82"/>
      <c r="N81" s="83"/>
      <c r="O81" s="84"/>
      <c r="P81" s="82"/>
      <c r="Q81" s="85"/>
      <c r="R81" s="82"/>
      <c r="S81" s="82"/>
      <c r="T81" s="82"/>
      <c r="U81" s="82"/>
      <c r="V81" s="82"/>
      <c r="W81" s="82"/>
      <c r="X81" s="82"/>
      <c r="Y81" s="82"/>
      <c r="Z81" s="82"/>
      <c r="AA81" s="85"/>
      <c r="AB81" s="85"/>
      <c r="AC81" s="85"/>
      <c r="AD81" s="84"/>
      <c r="AE81" s="82"/>
      <c r="AF81" s="82"/>
      <c r="AG81" s="85"/>
      <c r="AH81" s="85" t="str">
        <f t="shared" si="5"/>
        <v/>
      </c>
      <c r="AI81" s="85"/>
      <c r="AJ81" s="85"/>
      <c r="AK81" s="85" t="str">
        <f t="shared" si="6"/>
        <v/>
      </c>
      <c r="AL81" s="83" t="str">
        <f t="shared" si="7"/>
        <v/>
      </c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5"/>
      <c r="AX81" s="84"/>
      <c r="AY81" s="82"/>
      <c r="AZ81" s="82"/>
      <c r="BA81" s="82"/>
      <c r="BB81" s="82"/>
      <c r="BC81" s="82"/>
      <c r="BD81" s="82"/>
      <c r="BE81" s="82"/>
      <c r="BF81" s="82"/>
      <c r="BG81" s="82"/>
      <c r="BH81" s="84"/>
      <c r="BI81" s="82"/>
      <c r="BJ81" s="78"/>
      <c r="BL81" s="76" t="s">
        <v>1194</v>
      </c>
      <c r="BM81" s="76" t="s">
        <v>1287</v>
      </c>
    </row>
    <row r="82" spans="1:65" ht="21.4" customHeight="1">
      <c r="A82" s="78" t="str">
        <f t="shared" si="4"/>
        <v/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3"/>
      <c r="M82" s="82"/>
      <c r="N82" s="83"/>
      <c r="O82" s="84"/>
      <c r="P82" s="82"/>
      <c r="Q82" s="85"/>
      <c r="R82" s="82"/>
      <c r="S82" s="82"/>
      <c r="T82" s="82"/>
      <c r="U82" s="82"/>
      <c r="V82" s="82"/>
      <c r="W82" s="82"/>
      <c r="X82" s="82"/>
      <c r="Y82" s="82"/>
      <c r="Z82" s="82"/>
      <c r="AA82" s="85"/>
      <c r="AB82" s="85"/>
      <c r="AC82" s="85"/>
      <c r="AD82" s="84"/>
      <c r="AE82" s="82"/>
      <c r="AF82" s="82"/>
      <c r="AG82" s="85"/>
      <c r="AH82" s="85" t="str">
        <f t="shared" si="5"/>
        <v/>
      </c>
      <c r="AI82" s="85"/>
      <c r="AJ82" s="85"/>
      <c r="AK82" s="85" t="str">
        <f t="shared" si="6"/>
        <v/>
      </c>
      <c r="AL82" s="83" t="str">
        <f t="shared" si="7"/>
        <v/>
      </c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5"/>
      <c r="AX82" s="84"/>
      <c r="AY82" s="82"/>
      <c r="AZ82" s="82"/>
      <c r="BA82" s="82"/>
      <c r="BB82" s="82"/>
      <c r="BC82" s="82"/>
      <c r="BD82" s="82"/>
      <c r="BE82" s="82"/>
      <c r="BF82" s="82"/>
      <c r="BG82" s="82"/>
      <c r="BH82" s="84"/>
      <c r="BI82" s="82"/>
      <c r="BJ82" s="78"/>
      <c r="BL82" s="76" t="s">
        <v>1194</v>
      </c>
      <c r="BM82" s="76" t="s">
        <v>1288</v>
      </c>
    </row>
    <row r="83" spans="1:65" ht="21.4" customHeight="1">
      <c r="A83" s="78" t="str">
        <f t="shared" si="4"/>
        <v/>
      </c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3"/>
      <c r="M83" s="82"/>
      <c r="N83" s="83"/>
      <c r="O83" s="84"/>
      <c r="P83" s="82"/>
      <c r="Q83" s="85"/>
      <c r="R83" s="82"/>
      <c r="S83" s="82"/>
      <c r="T83" s="82"/>
      <c r="U83" s="82"/>
      <c r="V83" s="82"/>
      <c r="W83" s="82"/>
      <c r="X83" s="82"/>
      <c r="Y83" s="82"/>
      <c r="Z83" s="82"/>
      <c r="AA83" s="85"/>
      <c r="AB83" s="85"/>
      <c r="AC83" s="85"/>
      <c r="AD83" s="84"/>
      <c r="AE83" s="82"/>
      <c r="AF83" s="82"/>
      <c r="AG83" s="85"/>
      <c r="AH83" s="85" t="str">
        <f t="shared" si="5"/>
        <v/>
      </c>
      <c r="AI83" s="85"/>
      <c r="AJ83" s="85"/>
      <c r="AK83" s="85" t="str">
        <f t="shared" si="6"/>
        <v/>
      </c>
      <c r="AL83" s="83" t="str">
        <f t="shared" si="7"/>
        <v/>
      </c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5"/>
      <c r="AX83" s="84"/>
      <c r="AY83" s="82"/>
      <c r="AZ83" s="82"/>
      <c r="BA83" s="82"/>
      <c r="BB83" s="82"/>
      <c r="BC83" s="82"/>
      <c r="BD83" s="82"/>
      <c r="BE83" s="82"/>
      <c r="BF83" s="82"/>
      <c r="BG83" s="82"/>
      <c r="BH83" s="84"/>
      <c r="BI83" s="82"/>
      <c r="BJ83" s="78"/>
      <c r="BL83" s="76" t="s">
        <v>1194</v>
      </c>
      <c r="BM83" s="76" t="s">
        <v>1289</v>
      </c>
    </row>
    <row r="84" spans="1:65" ht="21.4" customHeight="1">
      <c r="A84" s="78" t="str">
        <f t="shared" si="4"/>
        <v/>
      </c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3"/>
      <c r="M84" s="82"/>
      <c r="N84" s="83"/>
      <c r="O84" s="84"/>
      <c r="P84" s="82"/>
      <c r="Q84" s="85"/>
      <c r="R84" s="82"/>
      <c r="S84" s="82"/>
      <c r="T84" s="82"/>
      <c r="U84" s="82"/>
      <c r="V84" s="82"/>
      <c r="W84" s="82"/>
      <c r="X84" s="82"/>
      <c r="Y84" s="82"/>
      <c r="Z84" s="82"/>
      <c r="AA84" s="85"/>
      <c r="AB84" s="85"/>
      <c r="AC84" s="85"/>
      <c r="AD84" s="84"/>
      <c r="AE84" s="82"/>
      <c r="AF84" s="82"/>
      <c r="AG84" s="85"/>
      <c r="AH84" s="85" t="str">
        <f t="shared" si="5"/>
        <v/>
      </c>
      <c r="AI84" s="85"/>
      <c r="AJ84" s="85"/>
      <c r="AK84" s="85" t="str">
        <f t="shared" si="6"/>
        <v/>
      </c>
      <c r="AL84" s="83" t="str">
        <f t="shared" si="7"/>
        <v/>
      </c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5"/>
      <c r="AX84" s="84"/>
      <c r="AY84" s="82"/>
      <c r="AZ84" s="82"/>
      <c r="BA84" s="82"/>
      <c r="BB84" s="82"/>
      <c r="BC84" s="82"/>
      <c r="BD84" s="82"/>
      <c r="BE84" s="82"/>
      <c r="BF84" s="82"/>
      <c r="BG84" s="82"/>
      <c r="BH84" s="84"/>
      <c r="BI84" s="82"/>
      <c r="BJ84" s="78"/>
      <c r="BL84" s="76" t="s">
        <v>1194</v>
      </c>
      <c r="BM84" s="76" t="s">
        <v>1290</v>
      </c>
    </row>
    <row r="85" spans="1:65" ht="21.4" customHeight="1">
      <c r="A85" s="78" t="str">
        <f t="shared" si="4"/>
        <v/>
      </c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3"/>
      <c r="M85" s="82"/>
      <c r="N85" s="83"/>
      <c r="O85" s="84"/>
      <c r="P85" s="82"/>
      <c r="Q85" s="85"/>
      <c r="R85" s="82"/>
      <c r="S85" s="82"/>
      <c r="T85" s="82"/>
      <c r="U85" s="82"/>
      <c r="V85" s="82"/>
      <c r="W85" s="82"/>
      <c r="X85" s="82"/>
      <c r="Y85" s="82"/>
      <c r="Z85" s="82"/>
      <c r="AA85" s="85"/>
      <c r="AB85" s="85"/>
      <c r="AC85" s="85"/>
      <c r="AD85" s="84"/>
      <c r="AE85" s="82"/>
      <c r="AF85" s="82"/>
      <c r="AG85" s="85"/>
      <c r="AH85" s="85" t="str">
        <f t="shared" si="5"/>
        <v/>
      </c>
      <c r="AI85" s="85"/>
      <c r="AJ85" s="85"/>
      <c r="AK85" s="85" t="str">
        <f t="shared" si="6"/>
        <v/>
      </c>
      <c r="AL85" s="83" t="str">
        <f t="shared" si="7"/>
        <v/>
      </c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5"/>
      <c r="AX85" s="84"/>
      <c r="AY85" s="82"/>
      <c r="AZ85" s="82"/>
      <c r="BA85" s="82"/>
      <c r="BB85" s="82"/>
      <c r="BC85" s="82"/>
      <c r="BD85" s="82"/>
      <c r="BE85" s="82"/>
      <c r="BF85" s="82"/>
      <c r="BG85" s="82"/>
      <c r="BH85" s="84"/>
      <c r="BI85" s="82"/>
      <c r="BJ85" s="78"/>
      <c r="BL85" s="76" t="s">
        <v>1194</v>
      </c>
      <c r="BM85" s="76" t="s">
        <v>1291</v>
      </c>
    </row>
    <row r="86" spans="1:65" ht="21.4" customHeight="1">
      <c r="A86" s="78" t="str">
        <f t="shared" si="4"/>
        <v/>
      </c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3"/>
      <c r="M86" s="82"/>
      <c r="N86" s="83"/>
      <c r="O86" s="84"/>
      <c r="P86" s="82"/>
      <c r="Q86" s="85"/>
      <c r="R86" s="82"/>
      <c r="S86" s="82"/>
      <c r="T86" s="82"/>
      <c r="U86" s="82"/>
      <c r="V86" s="82"/>
      <c r="W86" s="82"/>
      <c r="X86" s="82"/>
      <c r="Y86" s="82"/>
      <c r="Z86" s="82"/>
      <c r="AA86" s="85"/>
      <c r="AB86" s="85"/>
      <c r="AC86" s="85"/>
      <c r="AD86" s="84"/>
      <c r="AE86" s="82"/>
      <c r="AF86" s="82"/>
      <c r="AG86" s="85"/>
      <c r="AH86" s="85" t="str">
        <f t="shared" si="5"/>
        <v/>
      </c>
      <c r="AI86" s="85"/>
      <c r="AJ86" s="85"/>
      <c r="AK86" s="85" t="str">
        <f t="shared" si="6"/>
        <v/>
      </c>
      <c r="AL86" s="83" t="str">
        <f t="shared" si="7"/>
        <v/>
      </c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5"/>
      <c r="AX86" s="84"/>
      <c r="AY86" s="82"/>
      <c r="AZ86" s="82"/>
      <c r="BA86" s="82"/>
      <c r="BB86" s="82"/>
      <c r="BC86" s="82"/>
      <c r="BD86" s="82"/>
      <c r="BE86" s="82"/>
      <c r="BF86" s="82"/>
      <c r="BG86" s="82"/>
      <c r="BH86" s="84"/>
      <c r="BI86" s="82"/>
      <c r="BJ86" s="78"/>
      <c r="BL86" s="76" t="s">
        <v>1194</v>
      </c>
      <c r="BM86" s="76" t="s">
        <v>1292</v>
      </c>
    </row>
    <row r="87" spans="1:65" ht="21.4" customHeight="1">
      <c r="A87" s="78" t="str">
        <f t="shared" si="4"/>
        <v/>
      </c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3"/>
      <c r="M87" s="82"/>
      <c r="N87" s="83"/>
      <c r="O87" s="84"/>
      <c r="P87" s="82"/>
      <c r="Q87" s="85"/>
      <c r="R87" s="82"/>
      <c r="S87" s="82"/>
      <c r="T87" s="82"/>
      <c r="U87" s="82"/>
      <c r="V87" s="82"/>
      <c r="W87" s="82"/>
      <c r="X87" s="82"/>
      <c r="Y87" s="82"/>
      <c r="Z87" s="82"/>
      <c r="AA87" s="85"/>
      <c r="AB87" s="85"/>
      <c r="AC87" s="85"/>
      <c r="AD87" s="84"/>
      <c r="AE87" s="82"/>
      <c r="AF87" s="82"/>
      <c r="AG87" s="85"/>
      <c r="AH87" s="85" t="str">
        <f t="shared" si="5"/>
        <v/>
      </c>
      <c r="AI87" s="85"/>
      <c r="AJ87" s="85"/>
      <c r="AK87" s="85" t="str">
        <f t="shared" si="6"/>
        <v/>
      </c>
      <c r="AL87" s="83" t="str">
        <f t="shared" si="7"/>
        <v/>
      </c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5"/>
      <c r="AX87" s="84"/>
      <c r="AY87" s="82"/>
      <c r="AZ87" s="82"/>
      <c r="BA87" s="82"/>
      <c r="BB87" s="82"/>
      <c r="BC87" s="82"/>
      <c r="BD87" s="82"/>
      <c r="BE87" s="82"/>
      <c r="BF87" s="82"/>
      <c r="BG87" s="82"/>
      <c r="BH87" s="84"/>
      <c r="BI87" s="82"/>
      <c r="BJ87" s="78"/>
      <c r="BL87" s="76" t="s">
        <v>1194</v>
      </c>
      <c r="BM87" s="76" t="s">
        <v>1293</v>
      </c>
    </row>
    <row r="88" spans="1:65" ht="21.4" customHeight="1">
      <c r="A88" s="78" t="str">
        <f t="shared" si="4"/>
        <v/>
      </c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3"/>
      <c r="M88" s="82"/>
      <c r="N88" s="83"/>
      <c r="O88" s="84"/>
      <c r="P88" s="82"/>
      <c r="Q88" s="85"/>
      <c r="R88" s="82"/>
      <c r="S88" s="82"/>
      <c r="T88" s="82"/>
      <c r="U88" s="82"/>
      <c r="V88" s="82"/>
      <c r="W88" s="82"/>
      <c r="X88" s="82"/>
      <c r="Y88" s="82"/>
      <c r="Z88" s="82"/>
      <c r="AA88" s="85"/>
      <c r="AB88" s="85"/>
      <c r="AC88" s="85"/>
      <c r="AD88" s="84"/>
      <c r="AE88" s="82"/>
      <c r="AF88" s="82"/>
      <c r="AG88" s="85"/>
      <c r="AH88" s="85" t="str">
        <f t="shared" si="5"/>
        <v/>
      </c>
      <c r="AI88" s="85"/>
      <c r="AJ88" s="85"/>
      <c r="AK88" s="85" t="str">
        <f t="shared" si="6"/>
        <v/>
      </c>
      <c r="AL88" s="83" t="str">
        <f t="shared" si="7"/>
        <v/>
      </c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5"/>
      <c r="AX88" s="84"/>
      <c r="AY88" s="82"/>
      <c r="AZ88" s="82"/>
      <c r="BA88" s="82"/>
      <c r="BB88" s="82"/>
      <c r="BC88" s="82"/>
      <c r="BD88" s="82"/>
      <c r="BE88" s="82"/>
      <c r="BF88" s="82"/>
      <c r="BG88" s="82"/>
      <c r="BH88" s="84"/>
      <c r="BI88" s="82"/>
      <c r="BJ88" s="78"/>
      <c r="BL88" s="76" t="s">
        <v>1194</v>
      </c>
      <c r="BM88" s="76" t="s">
        <v>1294</v>
      </c>
    </row>
    <row r="89" spans="1:65" ht="21.4" customHeight="1">
      <c r="A89" s="78" t="str">
        <f t="shared" si="4"/>
        <v/>
      </c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3"/>
      <c r="M89" s="82"/>
      <c r="N89" s="83"/>
      <c r="O89" s="84"/>
      <c r="P89" s="82"/>
      <c r="Q89" s="85"/>
      <c r="R89" s="82"/>
      <c r="S89" s="82"/>
      <c r="T89" s="82"/>
      <c r="U89" s="82"/>
      <c r="V89" s="82"/>
      <c r="W89" s="82"/>
      <c r="X89" s="82"/>
      <c r="Y89" s="82"/>
      <c r="Z89" s="82"/>
      <c r="AA89" s="85"/>
      <c r="AB89" s="85"/>
      <c r="AC89" s="85"/>
      <c r="AD89" s="84"/>
      <c r="AE89" s="82"/>
      <c r="AF89" s="82"/>
      <c r="AG89" s="85"/>
      <c r="AH89" s="85" t="str">
        <f t="shared" si="5"/>
        <v/>
      </c>
      <c r="AI89" s="85"/>
      <c r="AJ89" s="85"/>
      <c r="AK89" s="85" t="str">
        <f t="shared" si="6"/>
        <v/>
      </c>
      <c r="AL89" s="83" t="str">
        <f t="shared" si="7"/>
        <v/>
      </c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5"/>
      <c r="AX89" s="84"/>
      <c r="AY89" s="82"/>
      <c r="AZ89" s="82"/>
      <c r="BA89" s="82"/>
      <c r="BB89" s="82"/>
      <c r="BC89" s="82"/>
      <c r="BD89" s="82"/>
      <c r="BE89" s="82"/>
      <c r="BF89" s="82"/>
      <c r="BG89" s="82"/>
      <c r="BH89" s="84"/>
      <c r="BI89" s="82"/>
      <c r="BJ89" s="78"/>
      <c r="BL89" s="76" t="s">
        <v>1194</v>
      </c>
      <c r="BM89" s="76" t="s">
        <v>1295</v>
      </c>
    </row>
    <row r="90" spans="1:65" ht="21.4" customHeight="1">
      <c r="A90" s="78" t="str">
        <f t="shared" si="4"/>
        <v/>
      </c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3"/>
      <c r="M90" s="82"/>
      <c r="N90" s="83"/>
      <c r="O90" s="84"/>
      <c r="P90" s="82"/>
      <c r="Q90" s="85"/>
      <c r="R90" s="82"/>
      <c r="S90" s="82"/>
      <c r="T90" s="82"/>
      <c r="U90" s="82"/>
      <c r="V90" s="82"/>
      <c r="W90" s="82"/>
      <c r="X90" s="82"/>
      <c r="Y90" s="82"/>
      <c r="Z90" s="82"/>
      <c r="AA90" s="85"/>
      <c r="AB90" s="85"/>
      <c r="AC90" s="85"/>
      <c r="AD90" s="84"/>
      <c r="AE90" s="82"/>
      <c r="AF90" s="82"/>
      <c r="AG90" s="85"/>
      <c r="AH90" s="85" t="str">
        <f t="shared" si="5"/>
        <v/>
      </c>
      <c r="AI90" s="85"/>
      <c r="AJ90" s="85"/>
      <c r="AK90" s="85" t="str">
        <f t="shared" si="6"/>
        <v/>
      </c>
      <c r="AL90" s="83" t="str">
        <f t="shared" si="7"/>
        <v/>
      </c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5"/>
      <c r="AX90" s="84"/>
      <c r="AY90" s="82"/>
      <c r="AZ90" s="82"/>
      <c r="BA90" s="82"/>
      <c r="BB90" s="82"/>
      <c r="BC90" s="82"/>
      <c r="BD90" s="82"/>
      <c r="BE90" s="82"/>
      <c r="BF90" s="82"/>
      <c r="BG90" s="82"/>
      <c r="BH90" s="84"/>
      <c r="BI90" s="82"/>
      <c r="BJ90" s="78"/>
      <c r="BL90" s="76" t="s">
        <v>1194</v>
      </c>
      <c r="BM90" s="76" t="s">
        <v>1296</v>
      </c>
    </row>
    <row r="91" spans="1:65" ht="21.4" customHeight="1">
      <c r="A91" s="78" t="str">
        <f t="shared" si="4"/>
        <v/>
      </c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3"/>
      <c r="M91" s="82"/>
      <c r="N91" s="83"/>
      <c r="O91" s="84"/>
      <c r="P91" s="82"/>
      <c r="Q91" s="85"/>
      <c r="R91" s="82"/>
      <c r="S91" s="82"/>
      <c r="T91" s="82"/>
      <c r="U91" s="82"/>
      <c r="V91" s="82"/>
      <c r="W91" s="82"/>
      <c r="X91" s="82"/>
      <c r="Y91" s="82"/>
      <c r="Z91" s="82"/>
      <c r="AA91" s="85"/>
      <c r="AB91" s="85"/>
      <c r="AC91" s="85"/>
      <c r="AD91" s="84"/>
      <c r="AE91" s="82"/>
      <c r="AF91" s="82"/>
      <c r="AG91" s="85"/>
      <c r="AH91" s="85" t="str">
        <f t="shared" si="5"/>
        <v/>
      </c>
      <c r="AI91" s="85"/>
      <c r="AJ91" s="85"/>
      <c r="AK91" s="85" t="str">
        <f t="shared" si="6"/>
        <v/>
      </c>
      <c r="AL91" s="83" t="str">
        <f t="shared" si="7"/>
        <v/>
      </c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5"/>
      <c r="AX91" s="84"/>
      <c r="AY91" s="82"/>
      <c r="AZ91" s="82"/>
      <c r="BA91" s="82"/>
      <c r="BB91" s="82"/>
      <c r="BC91" s="82"/>
      <c r="BD91" s="82"/>
      <c r="BE91" s="82"/>
      <c r="BF91" s="82"/>
      <c r="BG91" s="82"/>
      <c r="BH91" s="84"/>
      <c r="BI91" s="82"/>
      <c r="BJ91" s="78"/>
      <c r="BL91" s="76" t="s">
        <v>1194</v>
      </c>
      <c r="BM91" s="76" t="s">
        <v>1297</v>
      </c>
    </row>
    <row r="92" spans="1:65" ht="21.4" customHeight="1">
      <c r="A92" s="78" t="str">
        <f t="shared" si="4"/>
        <v/>
      </c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3"/>
      <c r="M92" s="82"/>
      <c r="N92" s="83"/>
      <c r="O92" s="84"/>
      <c r="P92" s="82"/>
      <c r="Q92" s="85"/>
      <c r="R92" s="82"/>
      <c r="S92" s="82"/>
      <c r="T92" s="82"/>
      <c r="U92" s="82"/>
      <c r="V92" s="82"/>
      <c r="W92" s="82"/>
      <c r="X92" s="82"/>
      <c r="Y92" s="82"/>
      <c r="Z92" s="82"/>
      <c r="AA92" s="85"/>
      <c r="AB92" s="85"/>
      <c r="AC92" s="85"/>
      <c r="AD92" s="84"/>
      <c r="AE92" s="82"/>
      <c r="AF92" s="82"/>
      <c r="AG92" s="85"/>
      <c r="AH92" s="85" t="str">
        <f t="shared" si="5"/>
        <v/>
      </c>
      <c r="AI92" s="85"/>
      <c r="AJ92" s="85"/>
      <c r="AK92" s="85" t="str">
        <f t="shared" si="6"/>
        <v/>
      </c>
      <c r="AL92" s="83" t="str">
        <f t="shared" si="7"/>
        <v/>
      </c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5"/>
      <c r="AX92" s="84"/>
      <c r="AY92" s="82"/>
      <c r="AZ92" s="82"/>
      <c r="BA92" s="82"/>
      <c r="BB92" s="82"/>
      <c r="BC92" s="82"/>
      <c r="BD92" s="82"/>
      <c r="BE92" s="82"/>
      <c r="BF92" s="82"/>
      <c r="BG92" s="82"/>
      <c r="BH92" s="84"/>
      <c r="BI92" s="82"/>
      <c r="BJ92" s="78"/>
      <c r="BL92" s="76" t="s">
        <v>1196</v>
      </c>
      <c r="BM92" s="76" t="s">
        <v>1298</v>
      </c>
    </row>
    <row r="93" spans="1:65" ht="21.4" customHeight="1">
      <c r="A93" s="78" t="str">
        <f t="shared" si="4"/>
        <v/>
      </c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3"/>
      <c r="M93" s="82"/>
      <c r="N93" s="83"/>
      <c r="O93" s="84"/>
      <c r="P93" s="82"/>
      <c r="Q93" s="85"/>
      <c r="R93" s="82"/>
      <c r="S93" s="82"/>
      <c r="T93" s="82"/>
      <c r="U93" s="82"/>
      <c r="V93" s="82"/>
      <c r="W93" s="82"/>
      <c r="X93" s="82"/>
      <c r="Y93" s="82"/>
      <c r="Z93" s="82"/>
      <c r="AA93" s="85"/>
      <c r="AB93" s="85"/>
      <c r="AC93" s="85"/>
      <c r="AD93" s="84"/>
      <c r="AE93" s="82"/>
      <c r="AF93" s="82"/>
      <c r="AG93" s="85"/>
      <c r="AH93" s="85" t="str">
        <f t="shared" si="5"/>
        <v/>
      </c>
      <c r="AI93" s="85"/>
      <c r="AJ93" s="85"/>
      <c r="AK93" s="85" t="str">
        <f t="shared" si="6"/>
        <v/>
      </c>
      <c r="AL93" s="83" t="str">
        <f t="shared" si="7"/>
        <v/>
      </c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5"/>
      <c r="AX93" s="84"/>
      <c r="AY93" s="82"/>
      <c r="AZ93" s="82"/>
      <c r="BA93" s="82"/>
      <c r="BB93" s="82"/>
      <c r="BC93" s="82"/>
      <c r="BD93" s="82"/>
      <c r="BE93" s="82"/>
      <c r="BF93" s="82"/>
      <c r="BG93" s="82"/>
      <c r="BH93" s="84"/>
      <c r="BI93" s="82"/>
      <c r="BJ93" s="78"/>
      <c r="BL93" s="76" t="s">
        <v>1196</v>
      </c>
      <c r="BM93" s="76" t="s">
        <v>1299</v>
      </c>
    </row>
    <row r="94" spans="1:65" ht="21.4" customHeight="1">
      <c r="A94" s="78" t="str">
        <f t="shared" si="4"/>
        <v/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3"/>
      <c r="M94" s="82"/>
      <c r="N94" s="83"/>
      <c r="O94" s="84"/>
      <c r="P94" s="82"/>
      <c r="Q94" s="85"/>
      <c r="R94" s="82"/>
      <c r="S94" s="82"/>
      <c r="T94" s="82"/>
      <c r="U94" s="82"/>
      <c r="V94" s="82"/>
      <c r="W94" s="82"/>
      <c r="X94" s="82"/>
      <c r="Y94" s="82"/>
      <c r="Z94" s="82"/>
      <c r="AA94" s="85"/>
      <c r="AB94" s="85"/>
      <c r="AC94" s="85"/>
      <c r="AD94" s="84"/>
      <c r="AE94" s="82"/>
      <c r="AF94" s="82"/>
      <c r="AG94" s="85"/>
      <c r="AH94" s="85" t="str">
        <f t="shared" si="5"/>
        <v/>
      </c>
      <c r="AI94" s="85"/>
      <c r="AJ94" s="85"/>
      <c r="AK94" s="85" t="str">
        <f t="shared" si="6"/>
        <v/>
      </c>
      <c r="AL94" s="83" t="str">
        <f t="shared" si="7"/>
        <v/>
      </c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5"/>
      <c r="AX94" s="84"/>
      <c r="AY94" s="82"/>
      <c r="AZ94" s="82"/>
      <c r="BA94" s="82"/>
      <c r="BB94" s="82"/>
      <c r="BC94" s="82"/>
      <c r="BD94" s="82"/>
      <c r="BE94" s="82"/>
      <c r="BF94" s="82"/>
      <c r="BG94" s="82"/>
      <c r="BH94" s="84"/>
      <c r="BI94" s="82"/>
      <c r="BJ94" s="78"/>
      <c r="BL94" s="76" t="s">
        <v>1196</v>
      </c>
      <c r="BM94" s="76" t="s">
        <v>1300</v>
      </c>
    </row>
    <row r="95" spans="1:65" ht="21.4" customHeight="1">
      <c r="A95" s="78" t="str">
        <f t="shared" si="4"/>
        <v/>
      </c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3"/>
      <c r="M95" s="82"/>
      <c r="N95" s="83"/>
      <c r="O95" s="84"/>
      <c r="P95" s="82"/>
      <c r="Q95" s="85"/>
      <c r="R95" s="82"/>
      <c r="S95" s="82"/>
      <c r="T95" s="82"/>
      <c r="U95" s="82"/>
      <c r="V95" s="82"/>
      <c r="W95" s="82"/>
      <c r="X95" s="82"/>
      <c r="Y95" s="82"/>
      <c r="Z95" s="82"/>
      <c r="AA95" s="85"/>
      <c r="AB95" s="85"/>
      <c r="AC95" s="85"/>
      <c r="AD95" s="84"/>
      <c r="AE95" s="82"/>
      <c r="AF95" s="82"/>
      <c r="AG95" s="85"/>
      <c r="AH95" s="85" t="str">
        <f t="shared" si="5"/>
        <v/>
      </c>
      <c r="AI95" s="85"/>
      <c r="AJ95" s="85"/>
      <c r="AK95" s="85" t="str">
        <f t="shared" si="6"/>
        <v/>
      </c>
      <c r="AL95" s="83" t="str">
        <f t="shared" si="7"/>
        <v/>
      </c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5"/>
      <c r="AX95" s="84"/>
      <c r="AY95" s="82"/>
      <c r="AZ95" s="82"/>
      <c r="BA95" s="82"/>
      <c r="BB95" s="82"/>
      <c r="BC95" s="82"/>
      <c r="BD95" s="82"/>
      <c r="BE95" s="82"/>
      <c r="BF95" s="82"/>
      <c r="BG95" s="82"/>
      <c r="BH95" s="84"/>
      <c r="BI95" s="82"/>
      <c r="BJ95" s="78"/>
      <c r="BL95" s="76" t="s">
        <v>1196</v>
      </c>
      <c r="BM95" s="76" t="s">
        <v>1301</v>
      </c>
    </row>
    <row r="96" spans="1:65" ht="21.4" customHeight="1">
      <c r="A96" s="78" t="str">
        <f t="shared" si="4"/>
        <v/>
      </c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3"/>
      <c r="M96" s="82"/>
      <c r="N96" s="83"/>
      <c r="O96" s="84"/>
      <c r="P96" s="82"/>
      <c r="Q96" s="85"/>
      <c r="R96" s="82"/>
      <c r="S96" s="82"/>
      <c r="T96" s="82"/>
      <c r="U96" s="82"/>
      <c r="V96" s="82"/>
      <c r="W96" s="82"/>
      <c r="X96" s="82"/>
      <c r="Y96" s="82"/>
      <c r="Z96" s="82"/>
      <c r="AA96" s="85"/>
      <c r="AB96" s="85"/>
      <c r="AC96" s="85"/>
      <c r="AD96" s="84"/>
      <c r="AE96" s="82"/>
      <c r="AF96" s="82"/>
      <c r="AG96" s="85"/>
      <c r="AH96" s="85" t="str">
        <f t="shared" si="5"/>
        <v/>
      </c>
      <c r="AI96" s="85"/>
      <c r="AJ96" s="85"/>
      <c r="AK96" s="85" t="str">
        <f t="shared" si="6"/>
        <v/>
      </c>
      <c r="AL96" s="83" t="str">
        <f t="shared" si="7"/>
        <v/>
      </c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5"/>
      <c r="AX96" s="84"/>
      <c r="AY96" s="82"/>
      <c r="AZ96" s="82"/>
      <c r="BA96" s="82"/>
      <c r="BB96" s="82"/>
      <c r="BC96" s="82"/>
      <c r="BD96" s="82"/>
      <c r="BE96" s="82"/>
      <c r="BF96" s="82"/>
      <c r="BG96" s="82"/>
      <c r="BH96" s="84"/>
      <c r="BI96" s="82"/>
      <c r="BJ96" s="78"/>
      <c r="BL96" s="76" t="s">
        <v>1196</v>
      </c>
      <c r="BM96" s="76" t="s">
        <v>1302</v>
      </c>
    </row>
    <row r="97" spans="1:65" ht="21.4" customHeight="1">
      <c r="A97" s="78" t="str">
        <f t="shared" si="4"/>
        <v/>
      </c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3"/>
      <c r="M97" s="82"/>
      <c r="N97" s="83"/>
      <c r="O97" s="84"/>
      <c r="P97" s="82"/>
      <c r="Q97" s="85"/>
      <c r="R97" s="82"/>
      <c r="S97" s="82"/>
      <c r="T97" s="82"/>
      <c r="U97" s="82"/>
      <c r="V97" s="82"/>
      <c r="W97" s="82"/>
      <c r="X97" s="82"/>
      <c r="Y97" s="82"/>
      <c r="Z97" s="82"/>
      <c r="AA97" s="85"/>
      <c r="AB97" s="85"/>
      <c r="AC97" s="85"/>
      <c r="AD97" s="84"/>
      <c r="AE97" s="82"/>
      <c r="AF97" s="82"/>
      <c r="AG97" s="85"/>
      <c r="AH97" s="85" t="str">
        <f t="shared" si="5"/>
        <v/>
      </c>
      <c r="AI97" s="85"/>
      <c r="AJ97" s="85"/>
      <c r="AK97" s="85" t="str">
        <f t="shared" si="6"/>
        <v/>
      </c>
      <c r="AL97" s="83" t="str">
        <f t="shared" si="7"/>
        <v/>
      </c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5"/>
      <c r="AX97" s="84"/>
      <c r="AY97" s="82"/>
      <c r="AZ97" s="82"/>
      <c r="BA97" s="82"/>
      <c r="BB97" s="82"/>
      <c r="BC97" s="82"/>
      <c r="BD97" s="82"/>
      <c r="BE97" s="82"/>
      <c r="BF97" s="82"/>
      <c r="BG97" s="82"/>
      <c r="BH97" s="84"/>
      <c r="BI97" s="82"/>
      <c r="BJ97" s="78"/>
      <c r="BL97" s="76" t="s">
        <v>1196</v>
      </c>
      <c r="BM97" s="76" t="s">
        <v>1303</v>
      </c>
    </row>
    <row r="98" spans="1:65" ht="21.4" customHeight="1">
      <c r="A98" s="78" t="str">
        <f t="shared" si="4"/>
        <v/>
      </c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3"/>
      <c r="M98" s="82"/>
      <c r="N98" s="83"/>
      <c r="O98" s="84"/>
      <c r="P98" s="82"/>
      <c r="Q98" s="85"/>
      <c r="R98" s="82"/>
      <c r="S98" s="82"/>
      <c r="T98" s="82"/>
      <c r="U98" s="82"/>
      <c r="V98" s="82"/>
      <c r="W98" s="82"/>
      <c r="X98" s="82"/>
      <c r="Y98" s="82"/>
      <c r="Z98" s="82"/>
      <c r="AA98" s="85"/>
      <c r="AB98" s="85"/>
      <c r="AC98" s="85"/>
      <c r="AD98" s="84"/>
      <c r="AE98" s="82"/>
      <c r="AF98" s="82"/>
      <c r="AG98" s="85"/>
      <c r="AH98" s="85" t="str">
        <f t="shared" si="5"/>
        <v/>
      </c>
      <c r="AI98" s="85"/>
      <c r="AJ98" s="85"/>
      <c r="AK98" s="85" t="str">
        <f t="shared" si="6"/>
        <v/>
      </c>
      <c r="AL98" s="83" t="str">
        <f t="shared" si="7"/>
        <v/>
      </c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5"/>
      <c r="AX98" s="84"/>
      <c r="AY98" s="82"/>
      <c r="AZ98" s="82"/>
      <c r="BA98" s="82"/>
      <c r="BB98" s="82"/>
      <c r="BC98" s="82"/>
      <c r="BD98" s="82"/>
      <c r="BE98" s="82"/>
      <c r="BF98" s="82"/>
      <c r="BG98" s="82"/>
      <c r="BH98" s="84"/>
      <c r="BI98" s="82"/>
      <c r="BJ98" s="78"/>
      <c r="BL98" s="76" t="s">
        <v>1196</v>
      </c>
      <c r="BM98" s="76" t="s">
        <v>1304</v>
      </c>
    </row>
    <row r="99" spans="1:65" ht="21.4" customHeight="1">
      <c r="A99" s="78" t="str">
        <f t="shared" si="4"/>
        <v/>
      </c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3"/>
      <c r="M99" s="82"/>
      <c r="N99" s="83"/>
      <c r="O99" s="84"/>
      <c r="P99" s="82"/>
      <c r="Q99" s="85"/>
      <c r="R99" s="82"/>
      <c r="S99" s="82"/>
      <c r="T99" s="82"/>
      <c r="U99" s="82"/>
      <c r="V99" s="82"/>
      <c r="W99" s="82"/>
      <c r="X99" s="82"/>
      <c r="Y99" s="82"/>
      <c r="Z99" s="82"/>
      <c r="AA99" s="85"/>
      <c r="AB99" s="85"/>
      <c r="AC99" s="85"/>
      <c r="AD99" s="84"/>
      <c r="AE99" s="82"/>
      <c r="AF99" s="82"/>
      <c r="AG99" s="85"/>
      <c r="AH99" s="85" t="str">
        <f t="shared" si="5"/>
        <v/>
      </c>
      <c r="AI99" s="85"/>
      <c r="AJ99" s="85"/>
      <c r="AK99" s="85" t="str">
        <f t="shared" si="6"/>
        <v/>
      </c>
      <c r="AL99" s="83" t="str">
        <f t="shared" si="7"/>
        <v/>
      </c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5"/>
      <c r="AX99" s="84"/>
      <c r="AY99" s="82"/>
      <c r="AZ99" s="82"/>
      <c r="BA99" s="82"/>
      <c r="BB99" s="82"/>
      <c r="BC99" s="82"/>
      <c r="BD99" s="82"/>
      <c r="BE99" s="82"/>
      <c r="BF99" s="82"/>
      <c r="BG99" s="82"/>
      <c r="BH99" s="84"/>
      <c r="BI99" s="82"/>
      <c r="BJ99" s="78"/>
      <c r="BL99" s="76" t="s">
        <v>1196</v>
      </c>
      <c r="BM99" s="76" t="s">
        <v>1305</v>
      </c>
    </row>
    <row r="100" spans="1:65" ht="21.4" customHeight="1">
      <c r="A100" s="78" t="str">
        <f t="shared" si="4"/>
        <v/>
      </c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3"/>
      <c r="M100" s="82"/>
      <c r="N100" s="83"/>
      <c r="O100" s="84"/>
      <c r="P100" s="82"/>
      <c r="Q100" s="85"/>
      <c r="R100" s="82"/>
      <c r="S100" s="82"/>
      <c r="T100" s="82"/>
      <c r="U100" s="82"/>
      <c r="V100" s="82"/>
      <c r="W100" s="82"/>
      <c r="X100" s="82"/>
      <c r="Y100" s="82"/>
      <c r="Z100" s="82"/>
      <c r="AA100" s="85"/>
      <c r="AB100" s="85"/>
      <c r="AC100" s="85"/>
      <c r="AD100" s="84"/>
      <c r="AE100" s="82"/>
      <c r="AF100" s="82"/>
      <c r="AG100" s="85"/>
      <c r="AH100" s="85" t="str">
        <f t="shared" si="5"/>
        <v/>
      </c>
      <c r="AI100" s="85"/>
      <c r="AJ100" s="85"/>
      <c r="AK100" s="85" t="str">
        <f t="shared" si="6"/>
        <v/>
      </c>
      <c r="AL100" s="83" t="str">
        <f t="shared" si="7"/>
        <v/>
      </c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5"/>
      <c r="AX100" s="84"/>
      <c r="AY100" s="82"/>
      <c r="AZ100" s="82"/>
      <c r="BA100" s="82"/>
      <c r="BB100" s="82"/>
      <c r="BC100" s="82"/>
      <c r="BD100" s="82"/>
      <c r="BE100" s="82"/>
      <c r="BF100" s="82"/>
      <c r="BG100" s="82"/>
      <c r="BH100" s="84"/>
      <c r="BI100" s="82"/>
      <c r="BJ100" s="78"/>
      <c r="BL100" s="76" t="s">
        <v>1196</v>
      </c>
      <c r="BM100" s="76" t="s">
        <v>1306</v>
      </c>
    </row>
    <row r="101" spans="1:65" ht="21.4" customHeight="1">
      <c r="A101" s="78" t="str">
        <f t="shared" si="4"/>
        <v/>
      </c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3"/>
      <c r="M101" s="82"/>
      <c r="N101" s="83"/>
      <c r="O101" s="84"/>
      <c r="P101" s="82"/>
      <c r="Q101" s="85"/>
      <c r="R101" s="82"/>
      <c r="S101" s="82"/>
      <c r="T101" s="82"/>
      <c r="U101" s="82"/>
      <c r="V101" s="82"/>
      <c r="W101" s="82"/>
      <c r="X101" s="82"/>
      <c r="Y101" s="82"/>
      <c r="Z101" s="82"/>
      <c r="AA101" s="85"/>
      <c r="AB101" s="85"/>
      <c r="AC101" s="85"/>
      <c r="AD101" s="84"/>
      <c r="AE101" s="82"/>
      <c r="AF101" s="82"/>
      <c r="AG101" s="85"/>
      <c r="AH101" s="85" t="str">
        <f t="shared" si="5"/>
        <v/>
      </c>
      <c r="AI101" s="85"/>
      <c r="AJ101" s="85"/>
      <c r="AK101" s="85" t="str">
        <f t="shared" si="6"/>
        <v/>
      </c>
      <c r="AL101" s="83" t="str">
        <f t="shared" si="7"/>
        <v/>
      </c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5"/>
      <c r="AX101" s="84"/>
      <c r="AY101" s="82"/>
      <c r="AZ101" s="82"/>
      <c r="BA101" s="82"/>
      <c r="BB101" s="82"/>
      <c r="BC101" s="82"/>
      <c r="BD101" s="82"/>
      <c r="BE101" s="82"/>
      <c r="BF101" s="82"/>
      <c r="BG101" s="82"/>
      <c r="BH101" s="84"/>
      <c r="BI101" s="82"/>
      <c r="BJ101" s="78"/>
      <c r="BL101" s="76" t="s">
        <v>1196</v>
      </c>
      <c r="BM101" s="76" t="s">
        <v>1307</v>
      </c>
    </row>
    <row r="102" spans="1:65" ht="21.4" customHeight="1">
      <c r="A102" s="78" t="str">
        <f t="shared" si="4"/>
        <v/>
      </c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3"/>
      <c r="M102" s="82"/>
      <c r="N102" s="83"/>
      <c r="O102" s="84"/>
      <c r="P102" s="82"/>
      <c r="Q102" s="85"/>
      <c r="R102" s="82"/>
      <c r="S102" s="82"/>
      <c r="T102" s="82"/>
      <c r="U102" s="82"/>
      <c r="V102" s="82"/>
      <c r="W102" s="82"/>
      <c r="X102" s="82"/>
      <c r="Y102" s="82"/>
      <c r="Z102" s="82"/>
      <c r="AA102" s="85"/>
      <c r="AB102" s="85"/>
      <c r="AC102" s="85"/>
      <c r="AD102" s="84"/>
      <c r="AE102" s="82"/>
      <c r="AF102" s="82"/>
      <c r="AG102" s="85"/>
      <c r="AH102" s="85" t="str">
        <f t="shared" si="5"/>
        <v/>
      </c>
      <c r="AI102" s="85"/>
      <c r="AJ102" s="85"/>
      <c r="AK102" s="85" t="str">
        <f t="shared" si="6"/>
        <v/>
      </c>
      <c r="AL102" s="83" t="str">
        <f t="shared" si="7"/>
        <v/>
      </c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5"/>
      <c r="AX102" s="84"/>
      <c r="AY102" s="82"/>
      <c r="AZ102" s="82"/>
      <c r="BA102" s="82"/>
      <c r="BB102" s="82"/>
      <c r="BC102" s="82"/>
      <c r="BD102" s="82"/>
      <c r="BE102" s="82"/>
      <c r="BF102" s="82"/>
      <c r="BG102" s="82"/>
      <c r="BH102" s="84"/>
      <c r="BI102" s="82"/>
      <c r="BJ102" s="78"/>
      <c r="BL102" s="76" t="s">
        <v>1196</v>
      </c>
      <c r="BM102" s="76" t="s">
        <v>1308</v>
      </c>
    </row>
    <row r="103" spans="1:65" ht="21.4" customHeight="1">
      <c r="A103" s="78" t="str">
        <f t="shared" si="4"/>
        <v/>
      </c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3"/>
      <c r="M103" s="82"/>
      <c r="N103" s="83"/>
      <c r="O103" s="84"/>
      <c r="P103" s="82"/>
      <c r="Q103" s="85"/>
      <c r="R103" s="82"/>
      <c r="S103" s="82"/>
      <c r="T103" s="82"/>
      <c r="U103" s="82"/>
      <c r="V103" s="82"/>
      <c r="W103" s="82"/>
      <c r="X103" s="82"/>
      <c r="Y103" s="82"/>
      <c r="Z103" s="82"/>
      <c r="AA103" s="85"/>
      <c r="AB103" s="85"/>
      <c r="AC103" s="85"/>
      <c r="AD103" s="84"/>
      <c r="AE103" s="82"/>
      <c r="AF103" s="82"/>
      <c r="AG103" s="85"/>
      <c r="AH103" s="85" t="str">
        <f t="shared" si="5"/>
        <v/>
      </c>
      <c r="AI103" s="85"/>
      <c r="AJ103" s="85"/>
      <c r="AK103" s="85" t="str">
        <f t="shared" si="6"/>
        <v/>
      </c>
      <c r="AL103" s="83" t="str">
        <f t="shared" si="7"/>
        <v/>
      </c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5"/>
      <c r="AX103" s="84"/>
      <c r="AY103" s="82"/>
      <c r="AZ103" s="82"/>
      <c r="BA103" s="82"/>
      <c r="BB103" s="82"/>
      <c r="BC103" s="82"/>
      <c r="BD103" s="82"/>
      <c r="BE103" s="82"/>
      <c r="BF103" s="82"/>
      <c r="BG103" s="82"/>
      <c r="BH103" s="84"/>
      <c r="BI103" s="82"/>
      <c r="BJ103" s="78"/>
      <c r="BL103" s="76" t="s">
        <v>1196</v>
      </c>
      <c r="BM103" s="76" t="s">
        <v>1309</v>
      </c>
    </row>
    <row r="104" spans="1:65" ht="21.4" customHeight="1">
      <c r="A104" s="78" t="str">
        <f t="shared" si="4"/>
        <v/>
      </c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3"/>
      <c r="M104" s="82"/>
      <c r="N104" s="83"/>
      <c r="O104" s="84"/>
      <c r="P104" s="82"/>
      <c r="Q104" s="85"/>
      <c r="R104" s="82"/>
      <c r="S104" s="82"/>
      <c r="T104" s="82"/>
      <c r="U104" s="82"/>
      <c r="V104" s="82"/>
      <c r="W104" s="82"/>
      <c r="X104" s="82"/>
      <c r="Y104" s="82"/>
      <c r="Z104" s="82"/>
      <c r="AA104" s="85"/>
      <c r="AB104" s="85"/>
      <c r="AC104" s="85"/>
      <c r="AD104" s="84"/>
      <c r="AE104" s="82"/>
      <c r="AF104" s="82"/>
      <c r="AG104" s="85"/>
      <c r="AH104" s="85" t="str">
        <f t="shared" si="5"/>
        <v/>
      </c>
      <c r="AI104" s="85"/>
      <c r="AJ104" s="85"/>
      <c r="AK104" s="85" t="str">
        <f t="shared" si="6"/>
        <v/>
      </c>
      <c r="AL104" s="83" t="str">
        <f t="shared" si="7"/>
        <v/>
      </c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5"/>
      <c r="AX104" s="84"/>
      <c r="AY104" s="82"/>
      <c r="AZ104" s="82"/>
      <c r="BA104" s="82"/>
      <c r="BB104" s="82"/>
      <c r="BC104" s="82"/>
      <c r="BD104" s="82"/>
      <c r="BE104" s="82"/>
      <c r="BF104" s="82"/>
      <c r="BG104" s="82"/>
      <c r="BH104" s="84"/>
      <c r="BI104" s="82"/>
      <c r="BJ104" s="78"/>
      <c r="BL104" s="76" t="s">
        <v>1198</v>
      </c>
      <c r="BM104" s="76" t="s">
        <v>1310</v>
      </c>
    </row>
    <row r="105" spans="1:65" ht="21.4" customHeight="1">
      <c r="A105" s="78" t="str">
        <f t="shared" si="4"/>
        <v/>
      </c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3"/>
      <c r="M105" s="82"/>
      <c r="N105" s="83"/>
      <c r="O105" s="84"/>
      <c r="P105" s="82"/>
      <c r="Q105" s="85"/>
      <c r="R105" s="82"/>
      <c r="S105" s="82"/>
      <c r="T105" s="82"/>
      <c r="U105" s="82"/>
      <c r="V105" s="82"/>
      <c r="W105" s="82"/>
      <c r="X105" s="82"/>
      <c r="Y105" s="82"/>
      <c r="Z105" s="82"/>
      <c r="AA105" s="85"/>
      <c r="AB105" s="85"/>
      <c r="AC105" s="85"/>
      <c r="AD105" s="84"/>
      <c r="AE105" s="82"/>
      <c r="AF105" s="82"/>
      <c r="AG105" s="85"/>
      <c r="AH105" s="85" t="str">
        <f t="shared" si="5"/>
        <v/>
      </c>
      <c r="AI105" s="85"/>
      <c r="AJ105" s="85"/>
      <c r="AK105" s="85" t="str">
        <f t="shared" si="6"/>
        <v/>
      </c>
      <c r="AL105" s="83" t="str">
        <f t="shared" si="7"/>
        <v/>
      </c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5"/>
      <c r="AX105" s="84"/>
      <c r="AY105" s="82"/>
      <c r="AZ105" s="82"/>
      <c r="BA105" s="82"/>
      <c r="BB105" s="82"/>
      <c r="BC105" s="82"/>
      <c r="BD105" s="82"/>
      <c r="BE105" s="82"/>
      <c r="BF105" s="82"/>
      <c r="BG105" s="82"/>
      <c r="BH105" s="84"/>
      <c r="BI105" s="82"/>
      <c r="BJ105" s="78"/>
      <c r="BL105" s="76" t="s">
        <v>1198</v>
      </c>
      <c r="BM105" s="76" t="s">
        <v>1311</v>
      </c>
    </row>
    <row r="106" spans="1:65" ht="21.4" customHeight="1">
      <c r="A106" s="78" t="str">
        <f t="shared" si="4"/>
        <v/>
      </c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3"/>
      <c r="M106" s="82"/>
      <c r="N106" s="83"/>
      <c r="O106" s="84"/>
      <c r="P106" s="82"/>
      <c r="Q106" s="85"/>
      <c r="R106" s="82"/>
      <c r="S106" s="82"/>
      <c r="T106" s="82"/>
      <c r="U106" s="82"/>
      <c r="V106" s="82"/>
      <c r="W106" s="82"/>
      <c r="X106" s="82"/>
      <c r="Y106" s="82"/>
      <c r="Z106" s="82"/>
      <c r="AA106" s="85"/>
      <c r="AB106" s="85"/>
      <c r="AC106" s="85"/>
      <c r="AD106" s="84"/>
      <c r="AE106" s="82"/>
      <c r="AF106" s="82"/>
      <c r="AG106" s="85"/>
      <c r="AH106" s="85" t="str">
        <f t="shared" si="5"/>
        <v/>
      </c>
      <c r="AI106" s="85"/>
      <c r="AJ106" s="85"/>
      <c r="AK106" s="85" t="str">
        <f t="shared" si="6"/>
        <v/>
      </c>
      <c r="AL106" s="83" t="str">
        <f t="shared" si="7"/>
        <v/>
      </c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5"/>
      <c r="AX106" s="84"/>
      <c r="AY106" s="82"/>
      <c r="AZ106" s="82"/>
      <c r="BA106" s="82"/>
      <c r="BB106" s="82"/>
      <c r="BC106" s="82"/>
      <c r="BD106" s="82"/>
      <c r="BE106" s="82"/>
      <c r="BF106" s="82"/>
      <c r="BG106" s="82"/>
      <c r="BH106" s="84"/>
      <c r="BI106" s="82"/>
      <c r="BJ106" s="78"/>
      <c r="BL106" s="76" t="s">
        <v>1198</v>
      </c>
      <c r="BM106" s="76" t="s">
        <v>1312</v>
      </c>
    </row>
    <row r="107" spans="1:65" ht="21.4" customHeight="1">
      <c r="A107" s="78" t="str">
        <f t="shared" si="4"/>
        <v/>
      </c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3"/>
      <c r="M107" s="82"/>
      <c r="N107" s="83"/>
      <c r="O107" s="84"/>
      <c r="P107" s="82"/>
      <c r="Q107" s="85"/>
      <c r="R107" s="82"/>
      <c r="S107" s="82"/>
      <c r="T107" s="82"/>
      <c r="U107" s="82"/>
      <c r="V107" s="82"/>
      <c r="W107" s="82"/>
      <c r="X107" s="82"/>
      <c r="Y107" s="82"/>
      <c r="Z107" s="82"/>
      <c r="AA107" s="85"/>
      <c r="AB107" s="85"/>
      <c r="AC107" s="85"/>
      <c r="AD107" s="84"/>
      <c r="AE107" s="82"/>
      <c r="AF107" s="82"/>
      <c r="AG107" s="85"/>
      <c r="AH107" s="85" t="str">
        <f t="shared" si="5"/>
        <v/>
      </c>
      <c r="AI107" s="85"/>
      <c r="AJ107" s="85"/>
      <c r="AK107" s="85" t="str">
        <f t="shared" si="6"/>
        <v/>
      </c>
      <c r="AL107" s="83" t="str">
        <f t="shared" si="7"/>
        <v/>
      </c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5"/>
      <c r="AX107" s="84"/>
      <c r="AY107" s="82"/>
      <c r="AZ107" s="82"/>
      <c r="BA107" s="82"/>
      <c r="BB107" s="82"/>
      <c r="BC107" s="82"/>
      <c r="BD107" s="82"/>
      <c r="BE107" s="82"/>
      <c r="BF107" s="82"/>
      <c r="BG107" s="82"/>
      <c r="BH107" s="84"/>
      <c r="BI107" s="82"/>
      <c r="BJ107" s="78"/>
      <c r="BL107" s="76" t="s">
        <v>1198</v>
      </c>
      <c r="BM107" s="76" t="s">
        <v>1313</v>
      </c>
    </row>
    <row r="108" spans="1:65" ht="21.4" customHeight="1">
      <c r="A108" s="78" t="str">
        <f t="shared" si="4"/>
        <v/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3"/>
      <c r="M108" s="82"/>
      <c r="N108" s="83"/>
      <c r="O108" s="84"/>
      <c r="P108" s="82"/>
      <c r="Q108" s="85"/>
      <c r="R108" s="82"/>
      <c r="S108" s="82"/>
      <c r="T108" s="82"/>
      <c r="U108" s="82"/>
      <c r="V108" s="82"/>
      <c r="W108" s="82"/>
      <c r="X108" s="82"/>
      <c r="Y108" s="82"/>
      <c r="Z108" s="82"/>
      <c r="AA108" s="85"/>
      <c r="AB108" s="85"/>
      <c r="AC108" s="85"/>
      <c r="AD108" s="84"/>
      <c r="AE108" s="82"/>
      <c r="AF108" s="82"/>
      <c r="AG108" s="85"/>
      <c r="AH108" s="85" t="str">
        <f t="shared" si="5"/>
        <v/>
      </c>
      <c r="AI108" s="85"/>
      <c r="AJ108" s="85"/>
      <c r="AK108" s="85" t="str">
        <f t="shared" si="6"/>
        <v/>
      </c>
      <c r="AL108" s="83" t="str">
        <f t="shared" si="7"/>
        <v/>
      </c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5"/>
      <c r="AX108" s="84"/>
      <c r="AY108" s="82"/>
      <c r="AZ108" s="82"/>
      <c r="BA108" s="82"/>
      <c r="BB108" s="82"/>
      <c r="BC108" s="82"/>
      <c r="BD108" s="82"/>
      <c r="BE108" s="82"/>
      <c r="BF108" s="82"/>
      <c r="BG108" s="82"/>
      <c r="BH108" s="84"/>
      <c r="BI108" s="82"/>
      <c r="BJ108" s="78"/>
      <c r="BL108" s="76" t="s">
        <v>1198</v>
      </c>
      <c r="BM108" s="76" t="s">
        <v>1314</v>
      </c>
    </row>
    <row r="109" spans="1:65" ht="21.4" customHeight="1">
      <c r="A109" s="78" t="str">
        <f t="shared" si="4"/>
        <v/>
      </c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3"/>
      <c r="M109" s="82"/>
      <c r="N109" s="83"/>
      <c r="O109" s="84"/>
      <c r="P109" s="82"/>
      <c r="Q109" s="85"/>
      <c r="R109" s="82"/>
      <c r="S109" s="82"/>
      <c r="T109" s="82"/>
      <c r="U109" s="82"/>
      <c r="V109" s="82"/>
      <c r="W109" s="82"/>
      <c r="X109" s="82"/>
      <c r="Y109" s="82"/>
      <c r="Z109" s="82"/>
      <c r="AA109" s="85"/>
      <c r="AB109" s="85"/>
      <c r="AC109" s="85"/>
      <c r="AD109" s="84"/>
      <c r="AE109" s="82"/>
      <c r="AF109" s="82"/>
      <c r="AG109" s="85"/>
      <c r="AH109" s="85" t="str">
        <f t="shared" si="5"/>
        <v/>
      </c>
      <c r="AI109" s="85"/>
      <c r="AJ109" s="85"/>
      <c r="AK109" s="85" t="str">
        <f t="shared" si="6"/>
        <v/>
      </c>
      <c r="AL109" s="83" t="str">
        <f t="shared" si="7"/>
        <v/>
      </c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5"/>
      <c r="AX109" s="84"/>
      <c r="AY109" s="82"/>
      <c r="AZ109" s="82"/>
      <c r="BA109" s="82"/>
      <c r="BB109" s="82"/>
      <c r="BC109" s="82"/>
      <c r="BD109" s="82"/>
      <c r="BE109" s="82"/>
      <c r="BF109" s="82"/>
      <c r="BG109" s="82"/>
      <c r="BH109" s="84"/>
      <c r="BI109" s="82"/>
      <c r="BJ109" s="78"/>
      <c r="BL109" s="76" t="s">
        <v>1198</v>
      </c>
      <c r="BM109" s="76" t="s">
        <v>1315</v>
      </c>
    </row>
    <row r="110" spans="1:65" ht="21.4" customHeight="1">
      <c r="A110" s="78" t="str">
        <f t="shared" si="4"/>
        <v/>
      </c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3"/>
      <c r="M110" s="82"/>
      <c r="N110" s="83"/>
      <c r="O110" s="84"/>
      <c r="P110" s="82"/>
      <c r="Q110" s="85"/>
      <c r="R110" s="82"/>
      <c r="S110" s="82"/>
      <c r="T110" s="82"/>
      <c r="U110" s="82"/>
      <c r="V110" s="82"/>
      <c r="W110" s="82"/>
      <c r="X110" s="82"/>
      <c r="Y110" s="82"/>
      <c r="Z110" s="82"/>
      <c r="AA110" s="85"/>
      <c r="AB110" s="85"/>
      <c r="AC110" s="85"/>
      <c r="AD110" s="84"/>
      <c r="AE110" s="82"/>
      <c r="AF110" s="82"/>
      <c r="AG110" s="85"/>
      <c r="AH110" s="85" t="str">
        <f t="shared" si="5"/>
        <v/>
      </c>
      <c r="AI110" s="85"/>
      <c r="AJ110" s="85"/>
      <c r="AK110" s="85" t="str">
        <f t="shared" si="6"/>
        <v/>
      </c>
      <c r="AL110" s="83" t="str">
        <f t="shared" si="7"/>
        <v/>
      </c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5"/>
      <c r="AX110" s="84"/>
      <c r="AY110" s="82"/>
      <c r="AZ110" s="82"/>
      <c r="BA110" s="82"/>
      <c r="BB110" s="82"/>
      <c r="BC110" s="82"/>
      <c r="BD110" s="82"/>
      <c r="BE110" s="82"/>
      <c r="BF110" s="82"/>
      <c r="BG110" s="82"/>
      <c r="BH110" s="84"/>
      <c r="BI110" s="82"/>
      <c r="BJ110" s="78"/>
      <c r="BL110" s="76" t="s">
        <v>1198</v>
      </c>
      <c r="BM110" s="76" t="s">
        <v>1316</v>
      </c>
    </row>
    <row r="111" spans="1:65" ht="21.4" customHeight="1">
      <c r="A111" s="78" t="str">
        <f t="shared" si="4"/>
        <v/>
      </c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3"/>
      <c r="M111" s="82"/>
      <c r="N111" s="83"/>
      <c r="O111" s="84"/>
      <c r="P111" s="82"/>
      <c r="Q111" s="85"/>
      <c r="R111" s="82"/>
      <c r="S111" s="82"/>
      <c r="T111" s="82"/>
      <c r="U111" s="82"/>
      <c r="V111" s="82"/>
      <c r="W111" s="82"/>
      <c r="X111" s="82"/>
      <c r="Y111" s="82"/>
      <c r="Z111" s="82"/>
      <c r="AA111" s="85"/>
      <c r="AB111" s="85"/>
      <c r="AC111" s="85"/>
      <c r="AD111" s="84"/>
      <c r="AE111" s="82"/>
      <c r="AF111" s="82"/>
      <c r="AG111" s="85"/>
      <c r="AH111" s="85" t="str">
        <f t="shared" si="5"/>
        <v/>
      </c>
      <c r="AI111" s="85"/>
      <c r="AJ111" s="85"/>
      <c r="AK111" s="85" t="str">
        <f t="shared" si="6"/>
        <v/>
      </c>
      <c r="AL111" s="83" t="str">
        <f t="shared" si="7"/>
        <v/>
      </c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5"/>
      <c r="AX111" s="84"/>
      <c r="AY111" s="82"/>
      <c r="AZ111" s="82"/>
      <c r="BA111" s="82"/>
      <c r="BB111" s="82"/>
      <c r="BC111" s="82"/>
      <c r="BD111" s="82"/>
      <c r="BE111" s="82"/>
      <c r="BF111" s="82"/>
      <c r="BG111" s="82"/>
      <c r="BH111" s="84"/>
      <c r="BI111" s="82"/>
      <c r="BJ111" s="78"/>
      <c r="BL111" s="76" t="s">
        <v>1198</v>
      </c>
      <c r="BM111" s="76" t="s">
        <v>1317</v>
      </c>
    </row>
    <row r="112" spans="1:65" ht="21.4" customHeight="1">
      <c r="A112" s="78" t="str">
        <f t="shared" si="4"/>
        <v/>
      </c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3"/>
      <c r="M112" s="82"/>
      <c r="N112" s="83"/>
      <c r="O112" s="84"/>
      <c r="P112" s="82"/>
      <c r="Q112" s="85"/>
      <c r="R112" s="82"/>
      <c r="S112" s="82"/>
      <c r="T112" s="82"/>
      <c r="U112" s="82"/>
      <c r="V112" s="82"/>
      <c r="W112" s="82"/>
      <c r="X112" s="82"/>
      <c r="Y112" s="82"/>
      <c r="Z112" s="82"/>
      <c r="AA112" s="85"/>
      <c r="AB112" s="85"/>
      <c r="AC112" s="85"/>
      <c r="AD112" s="84"/>
      <c r="AE112" s="82"/>
      <c r="AF112" s="82"/>
      <c r="AG112" s="85"/>
      <c r="AH112" s="85" t="str">
        <f t="shared" si="5"/>
        <v/>
      </c>
      <c r="AI112" s="85"/>
      <c r="AJ112" s="85"/>
      <c r="AK112" s="85" t="str">
        <f t="shared" si="6"/>
        <v/>
      </c>
      <c r="AL112" s="83" t="str">
        <f t="shared" si="7"/>
        <v/>
      </c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5"/>
      <c r="AX112" s="84"/>
      <c r="AY112" s="82"/>
      <c r="AZ112" s="82"/>
      <c r="BA112" s="82"/>
      <c r="BB112" s="82"/>
      <c r="BC112" s="82"/>
      <c r="BD112" s="82"/>
      <c r="BE112" s="82"/>
      <c r="BF112" s="82"/>
      <c r="BG112" s="82"/>
      <c r="BH112" s="84"/>
      <c r="BI112" s="82"/>
      <c r="BJ112" s="78"/>
      <c r="BL112" s="76" t="s">
        <v>1198</v>
      </c>
      <c r="BM112" s="76" t="s">
        <v>1318</v>
      </c>
    </row>
    <row r="113" spans="1:65" ht="21.4" customHeight="1">
      <c r="A113" s="78" t="str">
        <f t="shared" si="4"/>
        <v/>
      </c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3"/>
      <c r="M113" s="82"/>
      <c r="N113" s="83"/>
      <c r="O113" s="84"/>
      <c r="P113" s="82"/>
      <c r="Q113" s="85"/>
      <c r="R113" s="82"/>
      <c r="S113" s="82"/>
      <c r="T113" s="82"/>
      <c r="U113" s="82"/>
      <c r="V113" s="82"/>
      <c r="W113" s="82"/>
      <c r="X113" s="82"/>
      <c r="Y113" s="82"/>
      <c r="Z113" s="82"/>
      <c r="AA113" s="85"/>
      <c r="AB113" s="85"/>
      <c r="AC113" s="85"/>
      <c r="AD113" s="84"/>
      <c r="AE113" s="82"/>
      <c r="AF113" s="82"/>
      <c r="AG113" s="85"/>
      <c r="AH113" s="85" t="str">
        <f t="shared" si="5"/>
        <v/>
      </c>
      <c r="AI113" s="85"/>
      <c r="AJ113" s="85"/>
      <c r="AK113" s="85" t="str">
        <f t="shared" si="6"/>
        <v/>
      </c>
      <c r="AL113" s="83" t="str">
        <f t="shared" si="7"/>
        <v/>
      </c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5"/>
      <c r="AX113" s="84"/>
      <c r="AY113" s="82"/>
      <c r="AZ113" s="82"/>
      <c r="BA113" s="82"/>
      <c r="BB113" s="82"/>
      <c r="BC113" s="82"/>
      <c r="BD113" s="82"/>
      <c r="BE113" s="82"/>
      <c r="BF113" s="82"/>
      <c r="BG113" s="82"/>
      <c r="BH113" s="84"/>
      <c r="BI113" s="82"/>
      <c r="BJ113" s="78"/>
      <c r="BL113" s="76" t="s">
        <v>1198</v>
      </c>
      <c r="BM113" s="76" t="s">
        <v>1319</v>
      </c>
    </row>
    <row r="114" spans="1:65" ht="21.4" customHeight="1">
      <c r="A114" s="78" t="str">
        <f t="shared" si="4"/>
        <v/>
      </c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3"/>
      <c r="M114" s="82"/>
      <c r="N114" s="83"/>
      <c r="O114" s="84"/>
      <c r="P114" s="82"/>
      <c r="Q114" s="85"/>
      <c r="R114" s="82"/>
      <c r="S114" s="82"/>
      <c r="T114" s="82"/>
      <c r="U114" s="82"/>
      <c r="V114" s="82"/>
      <c r="W114" s="82"/>
      <c r="X114" s="82"/>
      <c r="Y114" s="82"/>
      <c r="Z114" s="82"/>
      <c r="AA114" s="85"/>
      <c r="AB114" s="85"/>
      <c r="AC114" s="85"/>
      <c r="AD114" s="84"/>
      <c r="AE114" s="82"/>
      <c r="AF114" s="82"/>
      <c r="AG114" s="85"/>
      <c r="AH114" s="85" t="str">
        <f t="shared" si="5"/>
        <v/>
      </c>
      <c r="AI114" s="85"/>
      <c r="AJ114" s="85"/>
      <c r="AK114" s="85" t="str">
        <f t="shared" si="6"/>
        <v/>
      </c>
      <c r="AL114" s="83" t="str">
        <f t="shared" si="7"/>
        <v/>
      </c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5"/>
      <c r="AX114" s="84"/>
      <c r="AY114" s="82"/>
      <c r="AZ114" s="82"/>
      <c r="BA114" s="82"/>
      <c r="BB114" s="82"/>
      <c r="BC114" s="82"/>
      <c r="BD114" s="82"/>
      <c r="BE114" s="82"/>
      <c r="BF114" s="82"/>
      <c r="BG114" s="82"/>
      <c r="BH114" s="84"/>
      <c r="BI114" s="82"/>
      <c r="BJ114" s="78"/>
      <c r="BL114" s="76" t="s">
        <v>1198</v>
      </c>
      <c r="BM114" s="76" t="s">
        <v>1320</v>
      </c>
    </row>
    <row r="115" spans="1:65" ht="21.4" customHeight="1">
      <c r="A115" s="78" t="str">
        <f t="shared" si="4"/>
        <v/>
      </c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3"/>
      <c r="M115" s="82"/>
      <c r="N115" s="83"/>
      <c r="O115" s="84"/>
      <c r="P115" s="82"/>
      <c r="Q115" s="85"/>
      <c r="R115" s="82"/>
      <c r="S115" s="82"/>
      <c r="T115" s="82"/>
      <c r="U115" s="82"/>
      <c r="V115" s="82"/>
      <c r="W115" s="82"/>
      <c r="X115" s="82"/>
      <c r="Y115" s="82"/>
      <c r="Z115" s="82"/>
      <c r="AA115" s="85"/>
      <c r="AB115" s="85"/>
      <c r="AC115" s="85"/>
      <c r="AD115" s="84"/>
      <c r="AE115" s="82"/>
      <c r="AF115" s="82"/>
      <c r="AG115" s="85"/>
      <c r="AH115" s="85" t="str">
        <f t="shared" si="5"/>
        <v/>
      </c>
      <c r="AI115" s="85"/>
      <c r="AJ115" s="85"/>
      <c r="AK115" s="85" t="str">
        <f t="shared" si="6"/>
        <v/>
      </c>
      <c r="AL115" s="83" t="str">
        <f t="shared" si="7"/>
        <v/>
      </c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5"/>
      <c r="AX115" s="84"/>
      <c r="AY115" s="82"/>
      <c r="AZ115" s="82"/>
      <c r="BA115" s="82"/>
      <c r="BB115" s="82"/>
      <c r="BC115" s="82"/>
      <c r="BD115" s="82"/>
      <c r="BE115" s="82"/>
      <c r="BF115" s="82"/>
      <c r="BG115" s="82"/>
      <c r="BH115" s="84"/>
      <c r="BI115" s="82"/>
      <c r="BJ115" s="78"/>
      <c r="BL115" s="76" t="s">
        <v>1198</v>
      </c>
      <c r="BM115" s="76" t="s">
        <v>1321</v>
      </c>
    </row>
    <row r="116" spans="1:65" ht="21.4" customHeight="1">
      <c r="A116" s="78" t="str">
        <f t="shared" si="4"/>
        <v/>
      </c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3"/>
      <c r="M116" s="82"/>
      <c r="N116" s="83"/>
      <c r="O116" s="84"/>
      <c r="P116" s="82"/>
      <c r="Q116" s="85"/>
      <c r="R116" s="82"/>
      <c r="S116" s="82"/>
      <c r="T116" s="82"/>
      <c r="U116" s="82"/>
      <c r="V116" s="82"/>
      <c r="W116" s="82"/>
      <c r="X116" s="82"/>
      <c r="Y116" s="82"/>
      <c r="Z116" s="82"/>
      <c r="AA116" s="85"/>
      <c r="AB116" s="85"/>
      <c r="AC116" s="85"/>
      <c r="AD116" s="84"/>
      <c r="AE116" s="82"/>
      <c r="AF116" s="82"/>
      <c r="AG116" s="85"/>
      <c r="AH116" s="85" t="str">
        <f t="shared" si="5"/>
        <v/>
      </c>
      <c r="AI116" s="85"/>
      <c r="AJ116" s="85"/>
      <c r="AK116" s="85" t="str">
        <f t="shared" si="6"/>
        <v/>
      </c>
      <c r="AL116" s="83" t="str">
        <f t="shared" si="7"/>
        <v/>
      </c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5"/>
      <c r="AX116" s="84"/>
      <c r="AY116" s="82"/>
      <c r="AZ116" s="82"/>
      <c r="BA116" s="82"/>
      <c r="BB116" s="82"/>
      <c r="BC116" s="82"/>
      <c r="BD116" s="82"/>
      <c r="BE116" s="82"/>
      <c r="BF116" s="82"/>
      <c r="BG116" s="82"/>
      <c r="BH116" s="84"/>
      <c r="BI116" s="82"/>
      <c r="BJ116" s="78"/>
      <c r="BL116" s="76" t="s">
        <v>1200</v>
      </c>
      <c r="BM116" s="76" t="s">
        <v>1322</v>
      </c>
    </row>
    <row r="117" spans="1:65" ht="21.4" customHeight="1">
      <c r="A117" s="78" t="str">
        <f t="shared" si="4"/>
        <v/>
      </c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3"/>
      <c r="M117" s="82"/>
      <c r="N117" s="83"/>
      <c r="O117" s="84"/>
      <c r="P117" s="82"/>
      <c r="Q117" s="85"/>
      <c r="R117" s="82"/>
      <c r="S117" s="82"/>
      <c r="T117" s="82"/>
      <c r="U117" s="82"/>
      <c r="V117" s="82"/>
      <c r="W117" s="82"/>
      <c r="X117" s="82"/>
      <c r="Y117" s="82"/>
      <c r="Z117" s="82"/>
      <c r="AA117" s="85"/>
      <c r="AB117" s="85"/>
      <c r="AC117" s="85"/>
      <c r="AD117" s="84"/>
      <c r="AE117" s="82"/>
      <c r="AF117" s="82"/>
      <c r="AG117" s="85"/>
      <c r="AH117" s="85" t="str">
        <f t="shared" si="5"/>
        <v/>
      </c>
      <c r="AI117" s="85"/>
      <c r="AJ117" s="85"/>
      <c r="AK117" s="85" t="str">
        <f t="shared" si="6"/>
        <v/>
      </c>
      <c r="AL117" s="83" t="str">
        <f t="shared" si="7"/>
        <v/>
      </c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5"/>
      <c r="AX117" s="84"/>
      <c r="AY117" s="82"/>
      <c r="AZ117" s="82"/>
      <c r="BA117" s="82"/>
      <c r="BB117" s="82"/>
      <c r="BC117" s="82"/>
      <c r="BD117" s="82"/>
      <c r="BE117" s="82"/>
      <c r="BF117" s="82"/>
      <c r="BG117" s="82"/>
      <c r="BH117" s="84"/>
      <c r="BI117" s="82"/>
      <c r="BJ117" s="78"/>
      <c r="BL117" s="76" t="s">
        <v>1200</v>
      </c>
      <c r="BM117" s="76" t="s">
        <v>1323</v>
      </c>
    </row>
    <row r="118" spans="1:65" ht="21.4" customHeight="1">
      <c r="A118" s="78" t="str">
        <f t="shared" si="4"/>
        <v/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3"/>
      <c r="M118" s="82"/>
      <c r="N118" s="83"/>
      <c r="O118" s="84"/>
      <c r="P118" s="82"/>
      <c r="Q118" s="85"/>
      <c r="R118" s="82"/>
      <c r="S118" s="82"/>
      <c r="T118" s="82"/>
      <c r="U118" s="82"/>
      <c r="V118" s="82"/>
      <c r="W118" s="82"/>
      <c r="X118" s="82"/>
      <c r="Y118" s="82"/>
      <c r="Z118" s="82"/>
      <c r="AA118" s="85"/>
      <c r="AB118" s="85"/>
      <c r="AC118" s="85"/>
      <c r="AD118" s="84"/>
      <c r="AE118" s="82"/>
      <c r="AF118" s="82"/>
      <c r="AG118" s="85"/>
      <c r="AH118" s="85" t="str">
        <f t="shared" si="5"/>
        <v/>
      </c>
      <c r="AI118" s="85"/>
      <c r="AJ118" s="85"/>
      <c r="AK118" s="85" t="str">
        <f t="shared" si="6"/>
        <v/>
      </c>
      <c r="AL118" s="83" t="str">
        <f t="shared" si="7"/>
        <v/>
      </c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5"/>
      <c r="AX118" s="84"/>
      <c r="AY118" s="82"/>
      <c r="AZ118" s="82"/>
      <c r="BA118" s="82"/>
      <c r="BB118" s="82"/>
      <c r="BC118" s="82"/>
      <c r="BD118" s="82"/>
      <c r="BE118" s="82"/>
      <c r="BF118" s="82"/>
      <c r="BG118" s="82"/>
      <c r="BH118" s="84"/>
      <c r="BI118" s="82"/>
      <c r="BJ118" s="78"/>
      <c r="BL118" s="76" t="s">
        <v>1200</v>
      </c>
      <c r="BM118" s="76" t="s">
        <v>1324</v>
      </c>
    </row>
    <row r="119" spans="1:65" ht="21.4" customHeight="1">
      <c r="A119" s="78" t="str">
        <f t="shared" si="4"/>
        <v/>
      </c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3"/>
      <c r="M119" s="82"/>
      <c r="N119" s="83"/>
      <c r="O119" s="84"/>
      <c r="P119" s="82"/>
      <c r="Q119" s="85"/>
      <c r="R119" s="82"/>
      <c r="S119" s="82"/>
      <c r="T119" s="82"/>
      <c r="U119" s="82"/>
      <c r="V119" s="82"/>
      <c r="W119" s="82"/>
      <c r="X119" s="82"/>
      <c r="Y119" s="82"/>
      <c r="Z119" s="82"/>
      <c r="AA119" s="85"/>
      <c r="AB119" s="85"/>
      <c r="AC119" s="85"/>
      <c r="AD119" s="84"/>
      <c r="AE119" s="82"/>
      <c r="AF119" s="82"/>
      <c r="AG119" s="85"/>
      <c r="AH119" s="85" t="str">
        <f t="shared" si="5"/>
        <v/>
      </c>
      <c r="AI119" s="85"/>
      <c r="AJ119" s="85"/>
      <c r="AK119" s="85" t="str">
        <f t="shared" si="6"/>
        <v/>
      </c>
      <c r="AL119" s="83" t="str">
        <f t="shared" si="7"/>
        <v/>
      </c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5"/>
      <c r="AX119" s="84"/>
      <c r="AY119" s="82"/>
      <c r="AZ119" s="82"/>
      <c r="BA119" s="82"/>
      <c r="BB119" s="82"/>
      <c r="BC119" s="82"/>
      <c r="BD119" s="82"/>
      <c r="BE119" s="82"/>
      <c r="BF119" s="82"/>
      <c r="BG119" s="82"/>
      <c r="BH119" s="84"/>
      <c r="BI119" s="82"/>
      <c r="BJ119" s="78"/>
      <c r="BL119" s="76" t="s">
        <v>1200</v>
      </c>
      <c r="BM119" s="76" t="s">
        <v>1325</v>
      </c>
    </row>
    <row r="120" spans="1:65" ht="21.4" customHeight="1">
      <c r="A120" s="78" t="str">
        <f t="shared" si="4"/>
        <v/>
      </c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3"/>
      <c r="M120" s="82"/>
      <c r="N120" s="83"/>
      <c r="O120" s="84"/>
      <c r="P120" s="82"/>
      <c r="Q120" s="85"/>
      <c r="R120" s="82"/>
      <c r="S120" s="82"/>
      <c r="T120" s="82"/>
      <c r="U120" s="82"/>
      <c r="V120" s="82"/>
      <c r="W120" s="82"/>
      <c r="X120" s="82"/>
      <c r="Y120" s="82"/>
      <c r="Z120" s="82"/>
      <c r="AA120" s="85"/>
      <c r="AB120" s="85"/>
      <c r="AC120" s="85"/>
      <c r="AD120" s="84"/>
      <c r="AE120" s="82"/>
      <c r="AF120" s="82"/>
      <c r="AG120" s="85"/>
      <c r="AH120" s="85" t="str">
        <f t="shared" si="5"/>
        <v/>
      </c>
      <c r="AI120" s="85"/>
      <c r="AJ120" s="85"/>
      <c r="AK120" s="85" t="str">
        <f t="shared" si="6"/>
        <v/>
      </c>
      <c r="AL120" s="83" t="str">
        <f t="shared" si="7"/>
        <v/>
      </c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5"/>
      <c r="AX120" s="84"/>
      <c r="AY120" s="82"/>
      <c r="AZ120" s="82"/>
      <c r="BA120" s="82"/>
      <c r="BB120" s="82"/>
      <c r="BC120" s="82"/>
      <c r="BD120" s="82"/>
      <c r="BE120" s="82"/>
      <c r="BF120" s="82"/>
      <c r="BG120" s="82"/>
      <c r="BH120" s="84"/>
      <c r="BI120" s="82"/>
      <c r="BJ120" s="78"/>
      <c r="BL120" s="76" t="s">
        <v>1200</v>
      </c>
      <c r="BM120" s="76" t="s">
        <v>1326</v>
      </c>
    </row>
    <row r="121" spans="1:65" ht="21.4" customHeight="1">
      <c r="A121" s="78" t="str">
        <f t="shared" si="4"/>
        <v/>
      </c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3"/>
      <c r="M121" s="82"/>
      <c r="N121" s="83"/>
      <c r="O121" s="84"/>
      <c r="P121" s="82"/>
      <c r="Q121" s="85"/>
      <c r="R121" s="82"/>
      <c r="S121" s="82"/>
      <c r="T121" s="82"/>
      <c r="U121" s="82"/>
      <c r="V121" s="82"/>
      <c r="W121" s="82"/>
      <c r="X121" s="82"/>
      <c r="Y121" s="82"/>
      <c r="Z121" s="82"/>
      <c r="AA121" s="85"/>
      <c r="AB121" s="85"/>
      <c r="AC121" s="85"/>
      <c r="AD121" s="84"/>
      <c r="AE121" s="82"/>
      <c r="AF121" s="82"/>
      <c r="AG121" s="85"/>
      <c r="AH121" s="85" t="str">
        <f t="shared" si="5"/>
        <v/>
      </c>
      <c r="AI121" s="85"/>
      <c r="AJ121" s="85"/>
      <c r="AK121" s="85" t="str">
        <f t="shared" si="6"/>
        <v/>
      </c>
      <c r="AL121" s="83" t="str">
        <f t="shared" si="7"/>
        <v/>
      </c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5"/>
      <c r="AX121" s="84"/>
      <c r="AY121" s="82"/>
      <c r="AZ121" s="82"/>
      <c r="BA121" s="82"/>
      <c r="BB121" s="82"/>
      <c r="BC121" s="82"/>
      <c r="BD121" s="82"/>
      <c r="BE121" s="82"/>
      <c r="BF121" s="82"/>
      <c r="BG121" s="82"/>
      <c r="BH121" s="84"/>
      <c r="BI121" s="82"/>
      <c r="BJ121" s="78"/>
      <c r="BL121" s="76" t="s">
        <v>1200</v>
      </c>
      <c r="BM121" s="76" t="s">
        <v>1327</v>
      </c>
    </row>
    <row r="122" spans="1:65" ht="21.4" customHeight="1">
      <c r="A122" s="78" t="str">
        <f t="shared" si="4"/>
        <v/>
      </c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3"/>
      <c r="M122" s="82"/>
      <c r="N122" s="83"/>
      <c r="O122" s="84"/>
      <c r="P122" s="82"/>
      <c r="Q122" s="85"/>
      <c r="R122" s="82"/>
      <c r="S122" s="82"/>
      <c r="T122" s="82"/>
      <c r="U122" s="82"/>
      <c r="V122" s="82"/>
      <c r="W122" s="82"/>
      <c r="X122" s="82"/>
      <c r="Y122" s="82"/>
      <c r="Z122" s="82"/>
      <c r="AA122" s="85"/>
      <c r="AB122" s="85"/>
      <c r="AC122" s="85"/>
      <c r="AD122" s="84"/>
      <c r="AE122" s="82"/>
      <c r="AF122" s="82"/>
      <c r="AG122" s="85"/>
      <c r="AH122" s="85" t="str">
        <f t="shared" si="5"/>
        <v/>
      </c>
      <c r="AI122" s="85"/>
      <c r="AJ122" s="85"/>
      <c r="AK122" s="85" t="str">
        <f t="shared" si="6"/>
        <v/>
      </c>
      <c r="AL122" s="83" t="str">
        <f t="shared" si="7"/>
        <v/>
      </c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5"/>
      <c r="AX122" s="84"/>
      <c r="AY122" s="82"/>
      <c r="AZ122" s="82"/>
      <c r="BA122" s="82"/>
      <c r="BB122" s="82"/>
      <c r="BC122" s="82"/>
      <c r="BD122" s="82"/>
      <c r="BE122" s="82"/>
      <c r="BF122" s="82"/>
      <c r="BG122" s="82"/>
      <c r="BH122" s="84"/>
      <c r="BI122" s="82"/>
      <c r="BJ122" s="78"/>
      <c r="BL122" s="76" t="s">
        <v>1200</v>
      </c>
      <c r="BM122" s="76" t="s">
        <v>1328</v>
      </c>
    </row>
    <row r="123" spans="1:65" ht="21.4" customHeight="1">
      <c r="A123" s="78" t="str">
        <f t="shared" si="4"/>
        <v/>
      </c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3"/>
      <c r="M123" s="82"/>
      <c r="N123" s="83"/>
      <c r="O123" s="84"/>
      <c r="P123" s="82"/>
      <c r="Q123" s="85"/>
      <c r="R123" s="82"/>
      <c r="S123" s="82"/>
      <c r="T123" s="82"/>
      <c r="U123" s="82"/>
      <c r="V123" s="82"/>
      <c r="W123" s="82"/>
      <c r="X123" s="82"/>
      <c r="Y123" s="82"/>
      <c r="Z123" s="82"/>
      <c r="AA123" s="85"/>
      <c r="AB123" s="85"/>
      <c r="AC123" s="85"/>
      <c r="AD123" s="84"/>
      <c r="AE123" s="82"/>
      <c r="AF123" s="82"/>
      <c r="AG123" s="85"/>
      <c r="AH123" s="85" t="str">
        <f t="shared" si="5"/>
        <v/>
      </c>
      <c r="AI123" s="85"/>
      <c r="AJ123" s="85"/>
      <c r="AK123" s="85" t="str">
        <f t="shared" si="6"/>
        <v/>
      </c>
      <c r="AL123" s="83" t="str">
        <f t="shared" si="7"/>
        <v/>
      </c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5"/>
      <c r="AX123" s="84"/>
      <c r="AY123" s="82"/>
      <c r="AZ123" s="82"/>
      <c r="BA123" s="82"/>
      <c r="BB123" s="82"/>
      <c r="BC123" s="82"/>
      <c r="BD123" s="82"/>
      <c r="BE123" s="82"/>
      <c r="BF123" s="82"/>
      <c r="BG123" s="82"/>
      <c r="BH123" s="84"/>
      <c r="BI123" s="82"/>
      <c r="BJ123" s="78"/>
      <c r="BL123" s="76" t="s">
        <v>1200</v>
      </c>
      <c r="BM123" s="76" t="s">
        <v>1329</v>
      </c>
    </row>
    <row r="124" spans="1:65" ht="21.4" customHeight="1">
      <c r="A124" s="78" t="str">
        <f t="shared" si="4"/>
        <v/>
      </c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3"/>
      <c r="M124" s="82"/>
      <c r="N124" s="83"/>
      <c r="O124" s="84"/>
      <c r="P124" s="82"/>
      <c r="Q124" s="85"/>
      <c r="R124" s="82"/>
      <c r="S124" s="82"/>
      <c r="T124" s="82"/>
      <c r="U124" s="82"/>
      <c r="V124" s="82"/>
      <c r="W124" s="82"/>
      <c r="X124" s="82"/>
      <c r="Y124" s="82"/>
      <c r="Z124" s="82"/>
      <c r="AA124" s="85"/>
      <c r="AB124" s="85"/>
      <c r="AC124" s="85"/>
      <c r="AD124" s="84"/>
      <c r="AE124" s="82"/>
      <c r="AF124" s="82"/>
      <c r="AG124" s="85"/>
      <c r="AH124" s="85" t="str">
        <f t="shared" si="5"/>
        <v/>
      </c>
      <c r="AI124" s="85"/>
      <c r="AJ124" s="85"/>
      <c r="AK124" s="85" t="str">
        <f t="shared" si="6"/>
        <v/>
      </c>
      <c r="AL124" s="83" t="str">
        <f t="shared" si="7"/>
        <v/>
      </c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5"/>
      <c r="AX124" s="84"/>
      <c r="AY124" s="82"/>
      <c r="AZ124" s="82"/>
      <c r="BA124" s="82"/>
      <c r="BB124" s="82"/>
      <c r="BC124" s="82"/>
      <c r="BD124" s="82"/>
      <c r="BE124" s="82"/>
      <c r="BF124" s="82"/>
      <c r="BG124" s="82"/>
      <c r="BH124" s="84"/>
      <c r="BI124" s="82"/>
      <c r="BJ124" s="78"/>
      <c r="BL124" s="76" t="s">
        <v>1200</v>
      </c>
      <c r="BM124" s="76" t="s">
        <v>1330</v>
      </c>
    </row>
    <row r="125" spans="1:65" ht="21.4" customHeight="1">
      <c r="A125" s="78" t="str">
        <f t="shared" si="4"/>
        <v/>
      </c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3"/>
      <c r="M125" s="82"/>
      <c r="N125" s="83"/>
      <c r="O125" s="84"/>
      <c r="P125" s="82"/>
      <c r="Q125" s="85"/>
      <c r="R125" s="82"/>
      <c r="S125" s="82"/>
      <c r="T125" s="82"/>
      <c r="U125" s="82"/>
      <c r="V125" s="82"/>
      <c r="W125" s="82"/>
      <c r="X125" s="82"/>
      <c r="Y125" s="82"/>
      <c r="Z125" s="82"/>
      <c r="AA125" s="85"/>
      <c r="AB125" s="85"/>
      <c r="AC125" s="85"/>
      <c r="AD125" s="84"/>
      <c r="AE125" s="82"/>
      <c r="AF125" s="82"/>
      <c r="AG125" s="85"/>
      <c r="AH125" s="85" t="str">
        <f t="shared" si="5"/>
        <v/>
      </c>
      <c r="AI125" s="85"/>
      <c r="AJ125" s="85"/>
      <c r="AK125" s="85" t="str">
        <f t="shared" si="6"/>
        <v/>
      </c>
      <c r="AL125" s="83" t="str">
        <f t="shared" si="7"/>
        <v/>
      </c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5"/>
      <c r="AX125" s="84"/>
      <c r="AY125" s="82"/>
      <c r="AZ125" s="82"/>
      <c r="BA125" s="82"/>
      <c r="BB125" s="82"/>
      <c r="BC125" s="82"/>
      <c r="BD125" s="82"/>
      <c r="BE125" s="82"/>
      <c r="BF125" s="82"/>
      <c r="BG125" s="82"/>
      <c r="BH125" s="84"/>
      <c r="BI125" s="82"/>
      <c r="BJ125" s="78"/>
      <c r="BL125" s="76" t="s">
        <v>1200</v>
      </c>
      <c r="BM125" s="76" t="s">
        <v>1331</v>
      </c>
    </row>
    <row r="126" spans="1:65" ht="21.4" customHeight="1">
      <c r="A126" s="78" t="str">
        <f t="shared" si="4"/>
        <v/>
      </c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3"/>
      <c r="M126" s="82"/>
      <c r="N126" s="83"/>
      <c r="O126" s="84"/>
      <c r="P126" s="82"/>
      <c r="Q126" s="85"/>
      <c r="R126" s="82"/>
      <c r="S126" s="82"/>
      <c r="T126" s="82"/>
      <c r="U126" s="82"/>
      <c r="V126" s="82"/>
      <c r="W126" s="82"/>
      <c r="X126" s="82"/>
      <c r="Y126" s="82"/>
      <c r="Z126" s="82"/>
      <c r="AA126" s="85"/>
      <c r="AB126" s="85"/>
      <c r="AC126" s="85"/>
      <c r="AD126" s="84"/>
      <c r="AE126" s="82"/>
      <c r="AF126" s="82"/>
      <c r="AG126" s="85"/>
      <c r="AH126" s="85" t="str">
        <f t="shared" si="5"/>
        <v/>
      </c>
      <c r="AI126" s="85"/>
      <c r="AJ126" s="85"/>
      <c r="AK126" s="85" t="str">
        <f t="shared" si="6"/>
        <v/>
      </c>
      <c r="AL126" s="83" t="str">
        <f t="shared" si="7"/>
        <v/>
      </c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5"/>
      <c r="AX126" s="84"/>
      <c r="AY126" s="82"/>
      <c r="AZ126" s="82"/>
      <c r="BA126" s="82"/>
      <c r="BB126" s="82"/>
      <c r="BC126" s="82"/>
      <c r="BD126" s="82"/>
      <c r="BE126" s="82"/>
      <c r="BF126" s="82"/>
      <c r="BG126" s="82"/>
      <c r="BH126" s="84"/>
      <c r="BI126" s="82"/>
      <c r="BJ126" s="78"/>
      <c r="BL126" s="76" t="s">
        <v>1200</v>
      </c>
      <c r="BM126" s="76" t="s">
        <v>1332</v>
      </c>
    </row>
    <row r="127" spans="1:65" ht="21.4" customHeight="1">
      <c r="A127" s="78" t="str">
        <f t="shared" si="4"/>
        <v/>
      </c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3"/>
      <c r="M127" s="82"/>
      <c r="N127" s="83"/>
      <c r="O127" s="84"/>
      <c r="P127" s="82"/>
      <c r="Q127" s="85"/>
      <c r="R127" s="82"/>
      <c r="S127" s="82"/>
      <c r="T127" s="82"/>
      <c r="U127" s="82"/>
      <c r="V127" s="82"/>
      <c r="W127" s="82"/>
      <c r="X127" s="82"/>
      <c r="Y127" s="82"/>
      <c r="Z127" s="82"/>
      <c r="AA127" s="85"/>
      <c r="AB127" s="85"/>
      <c r="AC127" s="85"/>
      <c r="AD127" s="84"/>
      <c r="AE127" s="82"/>
      <c r="AF127" s="82"/>
      <c r="AG127" s="85"/>
      <c r="AH127" s="85" t="str">
        <f t="shared" si="5"/>
        <v/>
      </c>
      <c r="AI127" s="85"/>
      <c r="AJ127" s="85"/>
      <c r="AK127" s="85" t="str">
        <f t="shared" si="6"/>
        <v/>
      </c>
      <c r="AL127" s="83" t="str">
        <f t="shared" si="7"/>
        <v/>
      </c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5"/>
      <c r="AX127" s="84"/>
      <c r="AY127" s="82"/>
      <c r="AZ127" s="82"/>
      <c r="BA127" s="82"/>
      <c r="BB127" s="82"/>
      <c r="BC127" s="82"/>
      <c r="BD127" s="82"/>
      <c r="BE127" s="82"/>
      <c r="BF127" s="82"/>
      <c r="BG127" s="82"/>
      <c r="BH127" s="84"/>
      <c r="BI127" s="82"/>
      <c r="BJ127" s="78"/>
      <c r="BL127" s="76" t="s">
        <v>1200</v>
      </c>
      <c r="BM127" s="76" t="s">
        <v>1333</v>
      </c>
    </row>
    <row r="128" spans="1:65" ht="21.4" customHeight="1">
      <c r="A128" s="78" t="str">
        <f t="shared" si="4"/>
        <v/>
      </c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3"/>
      <c r="M128" s="82"/>
      <c r="N128" s="83"/>
      <c r="O128" s="84"/>
      <c r="P128" s="82"/>
      <c r="Q128" s="85"/>
      <c r="R128" s="82"/>
      <c r="S128" s="82"/>
      <c r="T128" s="82"/>
      <c r="U128" s="82"/>
      <c r="V128" s="82"/>
      <c r="W128" s="82"/>
      <c r="X128" s="82"/>
      <c r="Y128" s="82"/>
      <c r="Z128" s="82"/>
      <c r="AA128" s="85"/>
      <c r="AB128" s="85"/>
      <c r="AC128" s="85"/>
      <c r="AD128" s="84"/>
      <c r="AE128" s="82"/>
      <c r="AF128" s="82"/>
      <c r="AG128" s="85"/>
      <c r="AH128" s="85" t="str">
        <f t="shared" si="5"/>
        <v/>
      </c>
      <c r="AI128" s="85"/>
      <c r="AJ128" s="85"/>
      <c r="AK128" s="85" t="str">
        <f t="shared" si="6"/>
        <v/>
      </c>
      <c r="AL128" s="83" t="str">
        <f t="shared" si="7"/>
        <v/>
      </c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5"/>
      <c r="AX128" s="84"/>
      <c r="AY128" s="82"/>
      <c r="AZ128" s="82"/>
      <c r="BA128" s="82"/>
      <c r="BB128" s="82"/>
      <c r="BC128" s="82"/>
      <c r="BD128" s="82"/>
      <c r="BE128" s="82"/>
      <c r="BF128" s="82"/>
      <c r="BG128" s="82"/>
      <c r="BH128" s="84"/>
      <c r="BI128" s="82"/>
      <c r="BJ128" s="78"/>
      <c r="BL128" s="76" t="s">
        <v>1200</v>
      </c>
      <c r="BM128" s="76" t="s">
        <v>1334</v>
      </c>
    </row>
    <row r="129" spans="1:65" ht="21.4" customHeight="1">
      <c r="A129" s="78" t="str">
        <f t="shared" si="4"/>
        <v/>
      </c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3"/>
      <c r="M129" s="82"/>
      <c r="N129" s="83"/>
      <c r="O129" s="84"/>
      <c r="P129" s="82"/>
      <c r="Q129" s="85"/>
      <c r="R129" s="82"/>
      <c r="S129" s="82"/>
      <c r="T129" s="82"/>
      <c r="U129" s="82"/>
      <c r="V129" s="82"/>
      <c r="W129" s="82"/>
      <c r="X129" s="82"/>
      <c r="Y129" s="82"/>
      <c r="Z129" s="82"/>
      <c r="AA129" s="85"/>
      <c r="AB129" s="85"/>
      <c r="AC129" s="85"/>
      <c r="AD129" s="84"/>
      <c r="AE129" s="82"/>
      <c r="AF129" s="82"/>
      <c r="AG129" s="85"/>
      <c r="AH129" s="85" t="str">
        <f t="shared" si="5"/>
        <v/>
      </c>
      <c r="AI129" s="85"/>
      <c r="AJ129" s="85"/>
      <c r="AK129" s="85" t="str">
        <f t="shared" si="6"/>
        <v/>
      </c>
      <c r="AL129" s="83" t="str">
        <f t="shared" si="7"/>
        <v/>
      </c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5"/>
      <c r="AX129" s="84"/>
      <c r="AY129" s="82"/>
      <c r="AZ129" s="82"/>
      <c r="BA129" s="82"/>
      <c r="BB129" s="82"/>
      <c r="BC129" s="82"/>
      <c r="BD129" s="82"/>
      <c r="BE129" s="82"/>
      <c r="BF129" s="82"/>
      <c r="BG129" s="82"/>
      <c r="BH129" s="84"/>
      <c r="BI129" s="82"/>
      <c r="BJ129" s="78"/>
      <c r="BL129" s="76" t="s">
        <v>1200</v>
      </c>
      <c r="BM129" s="76" t="s">
        <v>1335</v>
      </c>
    </row>
    <row r="130" spans="1:65" ht="21.4" customHeight="1">
      <c r="A130" s="78" t="str">
        <f t="shared" si="4"/>
        <v/>
      </c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3"/>
      <c r="M130" s="82"/>
      <c r="N130" s="83"/>
      <c r="O130" s="84"/>
      <c r="P130" s="82"/>
      <c r="Q130" s="85"/>
      <c r="R130" s="82"/>
      <c r="S130" s="82"/>
      <c r="T130" s="82"/>
      <c r="U130" s="82"/>
      <c r="V130" s="82"/>
      <c r="W130" s="82"/>
      <c r="X130" s="82"/>
      <c r="Y130" s="82"/>
      <c r="Z130" s="82"/>
      <c r="AA130" s="85"/>
      <c r="AB130" s="85"/>
      <c r="AC130" s="85"/>
      <c r="AD130" s="84"/>
      <c r="AE130" s="82"/>
      <c r="AF130" s="82"/>
      <c r="AG130" s="85"/>
      <c r="AH130" s="85" t="str">
        <f t="shared" si="5"/>
        <v/>
      </c>
      <c r="AI130" s="85"/>
      <c r="AJ130" s="85"/>
      <c r="AK130" s="85" t="str">
        <f t="shared" si="6"/>
        <v/>
      </c>
      <c r="AL130" s="83" t="str">
        <f t="shared" si="7"/>
        <v/>
      </c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5"/>
      <c r="AX130" s="84"/>
      <c r="AY130" s="82"/>
      <c r="AZ130" s="82"/>
      <c r="BA130" s="82"/>
      <c r="BB130" s="82"/>
      <c r="BC130" s="82"/>
      <c r="BD130" s="82"/>
      <c r="BE130" s="82"/>
      <c r="BF130" s="82"/>
      <c r="BG130" s="82"/>
      <c r="BH130" s="84"/>
      <c r="BI130" s="82"/>
      <c r="BJ130" s="78"/>
      <c r="BL130" s="76" t="s">
        <v>1200</v>
      </c>
      <c r="BM130" s="76" t="s">
        <v>1336</v>
      </c>
    </row>
    <row r="131" spans="1:65" ht="21.4" customHeight="1">
      <c r="A131" s="78" t="str">
        <f t="shared" si="4"/>
        <v/>
      </c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3"/>
      <c r="M131" s="82"/>
      <c r="N131" s="83"/>
      <c r="O131" s="84"/>
      <c r="P131" s="82"/>
      <c r="Q131" s="85"/>
      <c r="R131" s="82"/>
      <c r="S131" s="82"/>
      <c r="T131" s="82"/>
      <c r="U131" s="82"/>
      <c r="V131" s="82"/>
      <c r="W131" s="82"/>
      <c r="X131" s="82"/>
      <c r="Y131" s="82"/>
      <c r="Z131" s="82"/>
      <c r="AA131" s="85"/>
      <c r="AB131" s="85"/>
      <c r="AC131" s="85"/>
      <c r="AD131" s="84"/>
      <c r="AE131" s="82"/>
      <c r="AF131" s="82"/>
      <c r="AG131" s="85"/>
      <c r="AH131" s="85" t="str">
        <f t="shared" si="5"/>
        <v/>
      </c>
      <c r="AI131" s="85"/>
      <c r="AJ131" s="85"/>
      <c r="AK131" s="85" t="str">
        <f t="shared" si="6"/>
        <v/>
      </c>
      <c r="AL131" s="83" t="str">
        <f t="shared" si="7"/>
        <v/>
      </c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5"/>
      <c r="AX131" s="84"/>
      <c r="AY131" s="82"/>
      <c r="AZ131" s="82"/>
      <c r="BA131" s="82"/>
      <c r="BB131" s="82"/>
      <c r="BC131" s="82"/>
      <c r="BD131" s="82"/>
      <c r="BE131" s="82"/>
      <c r="BF131" s="82"/>
      <c r="BG131" s="82"/>
      <c r="BH131" s="84"/>
      <c r="BI131" s="82"/>
      <c r="BJ131" s="78"/>
      <c r="BL131" s="76" t="s">
        <v>1202</v>
      </c>
      <c r="BM131" s="76" t="s">
        <v>1337</v>
      </c>
    </row>
    <row r="132" spans="1:65" ht="21.4" customHeight="1">
      <c r="A132" s="78" t="str">
        <f t="shared" si="4"/>
        <v/>
      </c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3"/>
      <c r="M132" s="82"/>
      <c r="N132" s="83"/>
      <c r="O132" s="84"/>
      <c r="P132" s="82"/>
      <c r="Q132" s="85"/>
      <c r="R132" s="82"/>
      <c r="S132" s="82"/>
      <c r="T132" s="82"/>
      <c r="U132" s="82"/>
      <c r="V132" s="82"/>
      <c r="W132" s="82"/>
      <c r="X132" s="82"/>
      <c r="Y132" s="82"/>
      <c r="Z132" s="82"/>
      <c r="AA132" s="85"/>
      <c r="AB132" s="85"/>
      <c r="AC132" s="85"/>
      <c r="AD132" s="84"/>
      <c r="AE132" s="82"/>
      <c r="AF132" s="82"/>
      <c r="AG132" s="85"/>
      <c r="AH132" s="85" t="str">
        <f t="shared" si="5"/>
        <v/>
      </c>
      <c r="AI132" s="85"/>
      <c r="AJ132" s="85"/>
      <c r="AK132" s="85" t="str">
        <f t="shared" si="6"/>
        <v/>
      </c>
      <c r="AL132" s="83" t="str">
        <f t="shared" si="7"/>
        <v/>
      </c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5"/>
      <c r="AX132" s="84"/>
      <c r="AY132" s="82"/>
      <c r="AZ132" s="82"/>
      <c r="BA132" s="82"/>
      <c r="BB132" s="82"/>
      <c r="BC132" s="82"/>
      <c r="BD132" s="82"/>
      <c r="BE132" s="82"/>
      <c r="BF132" s="82"/>
      <c r="BG132" s="82"/>
      <c r="BH132" s="84"/>
      <c r="BI132" s="82"/>
      <c r="BJ132" s="78"/>
      <c r="BL132" s="76" t="s">
        <v>1202</v>
      </c>
      <c r="BM132" s="76" t="s">
        <v>1338</v>
      </c>
    </row>
    <row r="133" spans="1:65" ht="21.4" customHeight="1">
      <c r="A133" s="78" t="str">
        <f t="shared" si="4"/>
        <v/>
      </c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3"/>
      <c r="M133" s="82"/>
      <c r="N133" s="83"/>
      <c r="O133" s="84"/>
      <c r="P133" s="82"/>
      <c r="Q133" s="85"/>
      <c r="R133" s="82"/>
      <c r="S133" s="82"/>
      <c r="T133" s="82"/>
      <c r="U133" s="82"/>
      <c r="V133" s="82"/>
      <c r="W133" s="82"/>
      <c r="X133" s="82"/>
      <c r="Y133" s="82"/>
      <c r="Z133" s="82"/>
      <c r="AA133" s="85"/>
      <c r="AB133" s="85"/>
      <c r="AC133" s="85"/>
      <c r="AD133" s="84"/>
      <c r="AE133" s="82"/>
      <c r="AF133" s="82"/>
      <c r="AG133" s="85"/>
      <c r="AH133" s="85" t="str">
        <f t="shared" si="5"/>
        <v/>
      </c>
      <c r="AI133" s="85"/>
      <c r="AJ133" s="85"/>
      <c r="AK133" s="85" t="str">
        <f t="shared" si="6"/>
        <v/>
      </c>
      <c r="AL133" s="83" t="str">
        <f t="shared" si="7"/>
        <v/>
      </c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5"/>
      <c r="AX133" s="84"/>
      <c r="AY133" s="82"/>
      <c r="AZ133" s="82"/>
      <c r="BA133" s="82"/>
      <c r="BB133" s="82"/>
      <c r="BC133" s="82"/>
      <c r="BD133" s="82"/>
      <c r="BE133" s="82"/>
      <c r="BF133" s="82"/>
      <c r="BG133" s="82"/>
      <c r="BH133" s="84"/>
      <c r="BI133" s="82"/>
      <c r="BJ133" s="78"/>
      <c r="BL133" s="76" t="s">
        <v>1202</v>
      </c>
      <c r="BM133" s="76" t="s">
        <v>1339</v>
      </c>
    </row>
    <row r="134" spans="1:65" ht="21.4" customHeight="1">
      <c r="A134" s="78" t="str">
        <f t="shared" ref="A134:A197" si="8">IF(D134="","","ACT-"&amp;TEXT(ROW()-5,"0000"))</f>
        <v/>
      </c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3"/>
      <c r="M134" s="82"/>
      <c r="N134" s="83"/>
      <c r="O134" s="84"/>
      <c r="P134" s="82"/>
      <c r="Q134" s="85"/>
      <c r="R134" s="82"/>
      <c r="S134" s="82"/>
      <c r="T134" s="82"/>
      <c r="U134" s="82"/>
      <c r="V134" s="82"/>
      <c r="W134" s="82"/>
      <c r="X134" s="82"/>
      <c r="Y134" s="82"/>
      <c r="Z134" s="82"/>
      <c r="AA134" s="85"/>
      <c r="AB134" s="85"/>
      <c r="AC134" s="85"/>
      <c r="AD134" s="84"/>
      <c r="AE134" s="82"/>
      <c r="AF134" s="82"/>
      <c r="AG134" s="85"/>
      <c r="AH134" s="85" t="str">
        <f t="shared" ref="AH134:AH197" si="9">IF(AC134="","",AC134-IF(AG134="",0,AG134))</f>
        <v/>
      </c>
      <c r="AI134" s="85"/>
      <c r="AJ134" s="85"/>
      <c r="AK134" s="85" t="str">
        <f t="shared" ref="AK134:AK197" si="10">IF(AND(AI134="",AJ134=""),"",IF(AI134="",0,AI134)-IF(AJ134="",0,AJ134))</f>
        <v/>
      </c>
      <c r="AL134" s="83" t="str">
        <f t="shared" ref="AL134:AL197" si="11">IFERROR(AK134/AC134,"")</f>
        <v/>
      </c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5"/>
      <c r="AX134" s="84"/>
      <c r="AY134" s="82"/>
      <c r="AZ134" s="82"/>
      <c r="BA134" s="82"/>
      <c r="BB134" s="82"/>
      <c r="BC134" s="82"/>
      <c r="BD134" s="82"/>
      <c r="BE134" s="82"/>
      <c r="BF134" s="82"/>
      <c r="BG134" s="82"/>
      <c r="BH134" s="84"/>
      <c r="BI134" s="82"/>
      <c r="BJ134" s="78"/>
      <c r="BL134" s="76" t="s">
        <v>1202</v>
      </c>
      <c r="BM134" s="76" t="s">
        <v>127</v>
      </c>
    </row>
    <row r="135" spans="1:65" ht="21.4" customHeight="1">
      <c r="A135" s="78" t="str">
        <f t="shared" si="8"/>
        <v/>
      </c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3"/>
      <c r="M135" s="82"/>
      <c r="N135" s="83"/>
      <c r="O135" s="84"/>
      <c r="P135" s="82"/>
      <c r="Q135" s="85"/>
      <c r="R135" s="82"/>
      <c r="S135" s="82"/>
      <c r="T135" s="82"/>
      <c r="U135" s="82"/>
      <c r="V135" s="82"/>
      <c r="W135" s="82"/>
      <c r="X135" s="82"/>
      <c r="Y135" s="82"/>
      <c r="Z135" s="82"/>
      <c r="AA135" s="85"/>
      <c r="AB135" s="85"/>
      <c r="AC135" s="85"/>
      <c r="AD135" s="84"/>
      <c r="AE135" s="82"/>
      <c r="AF135" s="82"/>
      <c r="AG135" s="85"/>
      <c r="AH135" s="85" t="str">
        <f t="shared" si="9"/>
        <v/>
      </c>
      <c r="AI135" s="85"/>
      <c r="AJ135" s="85"/>
      <c r="AK135" s="85" t="str">
        <f t="shared" si="10"/>
        <v/>
      </c>
      <c r="AL135" s="83" t="str">
        <f t="shared" si="11"/>
        <v/>
      </c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5"/>
      <c r="AX135" s="84"/>
      <c r="AY135" s="82"/>
      <c r="AZ135" s="82"/>
      <c r="BA135" s="82"/>
      <c r="BB135" s="82"/>
      <c r="BC135" s="82"/>
      <c r="BD135" s="82"/>
      <c r="BE135" s="82"/>
      <c r="BF135" s="82"/>
      <c r="BG135" s="82"/>
      <c r="BH135" s="84"/>
      <c r="BI135" s="82"/>
      <c r="BJ135" s="78"/>
      <c r="BL135" s="76" t="s">
        <v>1202</v>
      </c>
      <c r="BM135" s="76" t="s">
        <v>1340</v>
      </c>
    </row>
    <row r="136" spans="1:65" ht="21.4" customHeight="1">
      <c r="A136" s="78" t="str">
        <f t="shared" si="8"/>
        <v/>
      </c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3"/>
      <c r="M136" s="82"/>
      <c r="N136" s="83"/>
      <c r="O136" s="84"/>
      <c r="P136" s="82"/>
      <c r="Q136" s="85"/>
      <c r="R136" s="82"/>
      <c r="S136" s="82"/>
      <c r="T136" s="82"/>
      <c r="U136" s="82"/>
      <c r="V136" s="82"/>
      <c r="W136" s="82"/>
      <c r="X136" s="82"/>
      <c r="Y136" s="82"/>
      <c r="Z136" s="82"/>
      <c r="AA136" s="85"/>
      <c r="AB136" s="85"/>
      <c r="AC136" s="85"/>
      <c r="AD136" s="84"/>
      <c r="AE136" s="82"/>
      <c r="AF136" s="82"/>
      <c r="AG136" s="85"/>
      <c r="AH136" s="85" t="str">
        <f t="shared" si="9"/>
        <v/>
      </c>
      <c r="AI136" s="85"/>
      <c r="AJ136" s="85"/>
      <c r="AK136" s="85" t="str">
        <f t="shared" si="10"/>
        <v/>
      </c>
      <c r="AL136" s="83" t="str">
        <f t="shared" si="11"/>
        <v/>
      </c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5"/>
      <c r="AX136" s="84"/>
      <c r="AY136" s="82"/>
      <c r="AZ136" s="82"/>
      <c r="BA136" s="82"/>
      <c r="BB136" s="82"/>
      <c r="BC136" s="82"/>
      <c r="BD136" s="82"/>
      <c r="BE136" s="82"/>
      <c r="BF136" s="82"/>
      <c r="BG136" s="82"/>
      <c r="BH136" s="84"/>
      <c r="BI136" s="82"/>
      <c r="BJ136" s="78"/>
      <c r="BL136" s="76" t="s">
        <v>1202</v>
      </c>
      <c r="BM136" s="76" t="s">
        <v>1341</v>
      </c>
    </row>
    <row r="137" spans="1:65" ht="21.4" customHeight="1">
      <c r="A137" s="78" t="str">
        <f t="shared" si="8"/>
        <v/>
      </c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3"/>
      <c r="M137" s="82"/>
      <c r="N137" s="83"/>
      <c r="O137" s="84"/>
      <c r="P137" s="82"/>
      <c r="Q137" s="85"/>
      <c r="R137" s="82"/>
      <c r="S137" s="82"/>
      <c r="T137" s="82"/>
      <c r="U137" s="82"/>
      <c r="V137" s="82"/>
      <c r="W137" s="82"/>
      <c r="X137" s="82"/>
      <c r="Y137" s="82"/>
      <c r="Z137" s="82"/>
      <c r="AA137" s="85"/>
      <c r="AB137" s="85"/>
      <c r="AC137" s="85"/>
      <c r="AD137" s="84"/>
      <c r="AE137" s="82"/>
      <c r="AF137" s="82"/>
      <c r="AG137" s="85"/>
      <c r="AH137" s="85" t="str">
        <f t="shared" si="9"/>
        <v/>
      </c>
      <c r="AI137" s="85"/>
      <c r="AJ137" s="85"/>
      <c r="AK137" s="85" t="str">
        <f t="shared" si="10"/>
        <v/>
      </c>
      <c r="AL137" s="83" t="str">
        <f t="shared" si="11"/>
        <v/>
      </c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5"/>
      <c r="AX137" s="84"/>
      <c r="AY137" s="82"/>
      <c r="AZ137" s="82"/>
      <c r="BA137" s="82"/>
      <c r="BB137" s="82"/>
      <c r="BC137" s="82"/>
      <c r="BD137" s="82"/>
      <c r="BE137" s="82"/>
      <c r="BF137" s="82"/>
      <c r="BG137" s="82"/>
      <c r="BH137" s="84"/>
      <c r="BI137" s="82"/>
      <c r="BJ137" s="78"/>
      <c r="BL137" s="76" t="s">
        <v>1202</v>
      </c>
      <c r="BM137" s="76" t="s">
        <v>1342</v>
      </c>
    </row>
    <row r="138" spans="1:65" ht="21.4" customHeight="1">
      <c r="A138" s="78" t="str">
        <f t="shared" si="8"/>
        <v/>
      </c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3"/>
      <c r="M138" s="82"/>
      <c r="N138" s="83"/>
      <c r="O138" s="84"/>
      <c r="P138" s="82"/>
      <c r="Q138" s="85"/>
      <c r="R138" s="82"/>
      <c r="S138" s="82"/>
      <c r="T138" s="82"/>
      <c r="U138" s="82"/>
      <c r="V138" s="82"/>
      <c r="W138" s="82"/>
      <c r="X138" s="82"/>
      <c r="Y138" s="82"/>
      <c r="Z138" s="82"/>
      <c r="AA138" s="85"/>
      <c r="AB138" s="85"/>
      <c r="AC138" s="85"/>
      <c r="AD138" s="84"/>
      <c r="AE138" s="82"/>
      <c r="AF138" s="82"/>
      <c r="AG138" s="85"/>
      <c r="AH138" s="85" t="str">
        <f t="shared" si="9"/>
        <v/>
      </c>
      <c r="AI138" s="85"/>
      <c r="AJ138" s="85"/>
      <c r="AK138" s="85" t="str">
        <f t="shared" si="10"/>
        <v/>
      </c>
      <c r="AL138" s="83" t="str">
        <f t="shared" si="11"/>
        <v/>
      </c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5"/>
      <c r="AX138" s="84"/>
      <c r="AY138" s="82"/>
      <c r="AZ138" s="82"/>
      <c r="BA138" s="82"/>
      <c r="BB138" s="82"/>
      <c r="BC138" s="82"/>
      <c r="BD138" s="82"/>
      <c r="BE138" s="82"/>
      <c r="BF138" s="82"/>
      <c r="BG138" s="82"/>
      <c r="BH138" s="84"/>
      <c r="BI138" s="82"/>
      <c r="BJ138" s="78"/>
      <c r="BL138" s="76" t="s">
        <v>1202</v>
      </c>
      <c r="BM138" s="76" t="s">
        <v>1343</v>
      </c>
    </row>
    <row r="139" spans="1:65" ht="21.4" customHeight="1">
      <c r="A139" s="78" t="str">
        <f t="shared" si="8"/>
        <v/>
      </c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3"/>
      <c r="M139" s="82"/>
      <c r="N139" s="83"/>
      <c r="O139" s="84"/>
      <c r="P139" s="82"/>
      <c r="Q139" s="85"/>
      <c r="R139" s="82"/>
      <c r="S139" s="82"/>
      <c r="T139" s="82"/>
      <c r="U139" s="82"/>
      <c r="V139" s="82"/>
      <c r="W139" s="82"/>
      <c r="X139" s="82"/>
      <c r="Y139" s="82"/>
      <c r="Z139" s="82"/>
      <c r="AA139" s="85"/>
      <c r="AB139" s="85"/>
      <c r="AC139" s="85"/>
      <c r="AD139" s="84"/>
      <c r="AE139" s="82"/>
      <c r="AF139" s="82"/>
      <c r="AG139" s="85"/>
      <c r="AH139" s="85" t="str">
        <f t="shared" si="9"/>
        <v/>
      </c>
      <c r="AI139" s="85"/>
      <c r="AJ139" s="85"/>
      <c r="AK139" s="85" t="str">
        <f t="shared" si="10"/>
        <v/>
      </c>
      <c r="AL139" s="83" t="str">
        <f t="shared" si="11"/>
        <v/>
      </c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5"/>
      <c r="AX139" s="84"/>
      <c r="AY139" s="82"/>
      <c r="AZ139" s="82"/>
      <c r="BA139" s="82"/>
      <c r="BB139" s="82"/>
      <c r="BC139" s="82"/>
      <c r="BD139" s="82"/>
      <c r="BE139" s="82"/>
      <c r="BF139" s="82"/>
      <c r="BG139" s="82"/>
      <c r="BH139" s="84"/>
      <c r="BI139" s="82"/>
      <c r="BJ139" s="78"/>
      <c r="BL139" s="76" t="s">
        <v>1202</v>
      </c>
      <c r="BM139" s="76" t="s">
        <v>1344</v>
      </c>
    </row>
    <row r="140" spans="1:65" ht="21.4" customHeight="1">
      <c r="A140" s="78" t="str">
        <f t="shared" si="8"/>
        <v/>
      </c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3"/>
      <c r="M140" s="82"/>
      <c r="N140" s="83"/>
      <c r="O140" s="84"/>
      <c r="P140" s="82"/>
      <c r="Q140" s="85"/>
      <c r="R140" s="82"/>
      <c r="S140" s="82"/>
      <c r="T140" s="82"/>
      <c r="U140" s="82"/>
      <c r="V140" s="82"/>
      <c r="W140" s="82"/>
      <c r="X140" s="82"/>
      <c r="Y140" s="82"/>
      <c r="Z140" s="82"/>
      <c r="AA140" s="85"/>
      <c r="AB140" s="85"/>
      <c r="AC140" s="85"/>
      <c r="AD140" s="84"/>
      <c r="AE140" s="82"/>
      <c r="AF140" s="82"/>
      <c r="AG140" s="85"/>
      <c r="AH140" s="85" t="str">
        <f t="shared" si="9"/>
        <v/>
      </c>
      <c r="AI140" s="85"/>
      <c r="AJ140" s="85"/>
      <c r="AK140" s="85" t="str">
        <f t="shared" si="10"/>
        <v/>
      </c>
      <c r="AL140" s="83" t="str">
        <f t="shared" si="11"/>
        <v/>
      </c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5"/>
      <c r="AX140" s="84"/>
      <c r="AY140" s="82"/>
      <c r="AZ140" s="82"/>
      <c r="BA140" s="82"/>
      <c r="BB140" s="82"/>
      <c r="BC140" s="82"/>
      <c r="BD140" s="82"/>
      <c r="BE140" s="82"/>
      <c r="BF140" s="82"/>
      <c r="BG140" s="82"/>
      <c r="BH140" s="84"/>
      <c r="BI140" s="82"/>
      <c r="BJ140" s="78"/>
      <c r="BL140" s="76" t="s">
        <v>1202</v>
      </c>
      <c r="BM140" s="76" t="s">
        <v>1345</v>
      </c>
    </row>
    <row r="141" spans="1:65" ht="21.4" customHeight="1">
      <c r="A141" s="78" t="str">
        <f t="shared" si="8"/>
        <v/>
      </c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3"/>
      <c r="M141" s="82"/>
      <c r="N141" s="83"/>
      <c r="O141" s="84"/>
      <c r="P141" s="82"/>
      <c r="Q141" s="85"/>
      <c r="R141" s="82"/>
      <c r="S141" s="82"/>
      <c r="T141" s="82"/>
      <c r="U141" s="82"/>
      <c r="V141" s="82"/>
      <c r="W141" s="82"/>
      <c r="X141" s="82"/>
      <c r="Y141" s="82"/>
      <c r="Z141" s="82"/>
      <c r="AA141" s="85"/>
      <c r="AB141" s="85"/>
      <c r="AC141" s="85"/>
      <c r="AD141" s="84"/>
      <c r="AE141" s="82"/>
      <c r="AF141" s="82"/>
      <c r="AG141" s="85"/>
      <c r="AH141" s="85" t="str">
        <f t="shared" si="9"/>
        <v/>
      </c>
      <c r="AI141" s="85"/>
      <c r="AJ141" s="85"/>
      <c r="AK141" s="85" t="str">
        <f t="shared" si="10"/>
        <v/>
      </c>
      <c r="AL141" s="83" t="str">
        <f t="shared" si="11"/>
        <v/>
      </c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5"/>
      <c r="AX141" s="84"/>
      <c r="AY141" s="82"/>
      <c r="AZ141" s="82"/>
      <c r="BA141" s="82"/>
      <c r="BB141" s="82"/>
      <c r="BC141" s="82"/>
      <c r="BD141" s="82"/>
      <c r="BE141" s="82"/>
      <c r="BF141" s="82"/>
      <c r="BG141" s="82"/>
      <c r="BH141" s="84"/>
      <c r="BI141" s="82"/>
      <c r="BJ141" s="78"/>
      <c r="BL141" s="76" t="s">
        <v>1202</v>
      </c>
      <c r="BM141" s="76" t="s">
        <v>1346</v>
      </c>
    </row>
    <row r="142" spans="1:65" ht="21.4" customHeight="1">
      <c r="A142" s="78" t="str">
        <f t="shared" si="8"/>
        <v/>
      </c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3"/>
      <c r="M142" s="82"/>
      <c r="N142" s="83"/>
      <c r="O142" s="84"/>
      <c r="P142" s="82"/>
      <c r="Q142" s="85"/>
      <c r="R142" s="82"/>
      <c r="S142" s="82"/>
      <c r="T142" s="82"/>
      <c r="U142" s="82"/>
      <c r="V142" s="82"/>
      <c r="W142" s="82"/>
      <c r="X142" s="82"/>
      <c r="Y142" s="82"/>
      <c r="Z142" s="82"/>
      <c r="AA142" s="85"/>
      <c r="AB142" s="85"/>
      <c r="AC142" s="85"/>
      <c r="AD142" s="84"/>
      <c r="AE142" s="82"/>
      <c r="AF142" s="82"/>
      <c r="AG142" s="85"/>
      <c r="AH142" s="85" t="str">
        <f t="shared" si="9"/>
        <v/>
      </c>
      <c r="AI142" s="85"/>
      <c r="AJ142" s="85"/>
      <c r="AK142" s="85" t="str">
        <f t="shared" si="10"/>
        <v/>
      </c>
      <c r="AL142" s="83" t="str">
        <f t="shared" si="11"/>
        <v/>
      </c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5"/>
      <c r="AX142" s="84"/>
      <c r="AY142" s="82"/>
      <c r="AZ142" s="82"/>
      <c r="BA142" s="82"/>
      <c r="BB142" s="82"/>
      <c r="BC142" s="82"/>
      <c r="BD142" s="82"/>
      <c r="BE142" s="82"/>
      <c r="BF142" s="82"/>
      <c r="BG142" s="82"/>
      <c r="BH142" s="84"/>
      <c r="BI142" s="82"/>
      <c r="BJ142" s="78"/>
      <c r="BL142" s="76" t="s">
        <v>1202</v>
      </c>
      <c r="BM142" s="76" t="s">
        <v>1347</v>
      </c>
    </row>
    <row r="143" spans="1:65" ht="21.4" customHeight="1">
      <c r="A143" s="78" t="str">
        <f t="shared" si="8"/>
        <v/>
      </c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3"/>
      <c r="M143" s="82"/>
      <c r="N143" s="83"/>
      <c r="O143" s="84"/>
      <c r="P143" s="82"/>
      <c r="Q143" s="85"/>
      <c r="R143" s="82"/>
      <c r="S143" s="82"/>
      <c r="T143" s="82"/>
      <c r="U143" s="82"/>
      <c r="V143" s="82"/>
      <c r="W143" s="82"/>
      <c r="X143" s="82"/>
      <c r="Y143" s="82"/>
      <c r="Z143" s="82"/>
      <c r="AA143" s="85"/>
      <c r="AB143" s="85"/>
      <c r="AC143" s="85"/>
      <c r="AD143" s="84"/>
      <c r="AE143" s="82"/>
      <c r="AF143" s="82"/>
      <c r="AG143" s="85"/>
      <c r="AH143" s="85" t="str">
        <f t="shared" si="9"/>
        <v/>
      </c>
      <c r="AI143" s="85"/>
      <c r="AJ143" s="85"/>
      <c r="AK143" s="85" t="str">
        <f t="shared" si="10"/>
        <v/>
      </c>
      <c r="AL143" s="83" t="str">
        <f t="shared" si="11"/>
        <v/>
      </c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5"/>
      <c r="AX143" s="84"/>
      <c r="AY143" s="82"/>
      <c r="AZ143" s="82"/>
      <c r="BA143" s="82"/>
      <c r="BB143" s="82"/>
      <c r="BC143" s="82"/>
      <c r="BD143" s="82"/>
      <c r="BE143" s="82"/>
      <c r="BF143" s="82"/>
      <c r="BG143" s="82"/>
      <c r="BH143" s="84"/>
      <c r="BI143" s="82"/>
      <c r="BJ143" s="78"/>
      <c r="BL143" s="76" t="s">
        <v>1202</v>
      </c>
      <c r="BM143" s="76" t="s">
        <v>1348</v>
      </c>
    </row>
    <row r="144" spans="1:65" ht="21.4" customHeight="1">
      <c r="A144" s="78" t="str">
        <f t="shared" si="8"/>
        <v/>
      </c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3"/>
      <c r="M144" s="82"/>
      <c r="N144" s="83"/>
      <c r="O144" s="84"/>
      <c r="P144" s="82"/>
      <c r="Q144" s="85"/>
      <c r="R144" s="82"/>
      <c r="S144" s="82"/>
      <c r="T144" s="82"/>
      <c r="U144" s="82"/>
      <c r="V144" s="82"/>
      <c r="W144" s="82"/>
      <c r="X144" s="82"/>
      <c r="Y144" s="82"/>
      <c r="Z144" s="82"/>
      <c r="AA144" s="85"/>
      <c r="AB144" s="85"/>
      <c r="AC144" s="85"/>
      <c r="AD144" s="84"/>
      <c r="AE144" s="82"/>
      <c r="AF144" s="82"/>
      <c r="AG144" s="85"/>
      <c r="AH144" s="85" t="str">
        <f t="shared" si="9"/>
        <v/>
      </c>
      <c r="AI144" s="85"/>
      <c r="AJ144" s="85"/>
      <c r="AK144" s="85" t="str">
        <f t="shared" si="10"/>
        <v/>
      </c>
      <c r="AL144" s="83" t="str">
        <f t="shared" si="11"/>
        <v/>
      </c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5"/>
      <c r="AX144" s="84"/>
      <c r="AY144" s="82"/>
      <c r="AZ144" s="82"/>
      <c r="BA144" s="82"/>
      <c r="BB144" s="82"/>
      <c r="BC144" s="82"/>
      <c r="BD144" s="82"/>
      <c r="BE144" s="82"/>
      <c r="BF144" s="82"/>
      <c r="BG144" s="82"/>
      <c r="BH144" s="84"/>
      <c r="BI144" s="82"/>
      <c r="BJ144" s="78"/>
      <c r="BL144" s="76" t="s">
        <v>1202</v>
      </c>
      <c r="BM144" s="76" t="s">
        <v>1349</v>
      </c>
    </row>
    <row r="145" spans="1:65" ht="21.4" customHeight="1">
      <c r="A145" s="78" t="str">
        <f t="shared" si="8"/>
        <v/>
      </c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3"/>
      <c r="M145" s="82"/>
      <c r="N145" s="83"/>
      <c r="O145" s="84"/>
      <c r="P145" s="82"/>
      <c r="Q145" s="85"/>
      <c r="R145" s="82"/>
      <c r="S145" s="82"/>
      <c r="T145" s="82"/>
      <c r="U145" s="82"/>
      <c r="V145" s="82"/>
      <c r="W145" s="82"/>
      <c r="X145" s="82"/>
      <c r="Y145" s="82"/>
      <c r="Z145" s="82"/>
      <c r="AA145" s="85"/>
      <c r="AB145" s="85"/>
      <c r="AC145" s="85"/>
      <c r="AD145" s="84"/>
      <c r="AE145" s="82"/>
      <c r="AF145" s="82"/>
      <c r="AG145" s="85"/>
      <c r="AH145" s="85" t="str">
        <f t="shared" si="9"/>
        <v/>
      </c>
      <c r="AI145" s="85"/>
      <c r="AJ145" s="85"/>
      <c r="AK145" s="85" t="str">
        <f t="shared" si="10"/>
        <v/>
      </c>
      <c r="AL145" s="83" t="str">
        <f t="shared" si="11"/>
        <v/>
      </c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5"/>
      <c r="AX145" s="84"/>
      <c r="AY145" s="82"/>
      <c r="AZ145" s="82"/>
      <c r="BA145" s="82"/>
      <c r="BB145" s="82"/>
      <c r="BC145" s="82"/>
      <c r="BD145" s="82"/>
      <c r="BE145" s="82"/>
      <c r="BF145" s="82"/>
      <c r="BG145" s="82"/>
      <c r="BH145" s="84"/>
      <c r="BI145" s="82"/>
      <c r="BJ145" s="78"/>
      <c r="BL145" s="76" t="s">
        <v>1202</v>
      </c>
      <c r="BM145" s="76" t="s">
        <v>1350</v>
      </c>
    </row>
    <row r="146" spans="1:65" ht="21.4" customHeight="1">
      <c r="A146" s="78" t="str">
        <f t="shared" si="8"/>
        <v/>
      </c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3"/>
      <c r="M146" s="82"/>
      <c r="N146" s="83"/>
      <c r="O146" s="84"/>
      <c r="P146" s="82"/>
      <c r="Q146" s="85"/>
      <c r="R146" s="82"/>
      <c r="S146" s="82"/>
      <c r="T146" s="82"/>
      <c r="U146" s="82"/>
      <c r="V146" s="82"/>
      <c r="W146" s="82"/>
      <c r="X146" s="82"/>
      <c r="Y146" s="82"/>
      <c r="Z146" s="82"/>
      <c r="AA146" s="85"/>
      <c r="AB146" s="85"/>
      <c r="AC146" s="85"/>
      <c r="AD146" s="84"/>
      <c r="AE146" s="82"/>
      <c r="AF146" s="82"/>
      <c r="AG146" s="85"/>
      <c r="AH146" s="85" t="str">
        <f t="shared" si="9"/>
        <v/>
      </c>
      <c r="AI146" s="85"/>
      <c r="AJ146" s="85"/>
      <c r="AK146" s="85" t="str">
        <f t="shared" si="10"/>
        <v/>
      </c>
      <c r="AL146" s="83" t="str">
        <f t="shared" si="11"/>
        <v/>
      </c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5"/>
      <c r="AX146" s="84"/>
      <c r="AY146" s="82"/>
      <c r="AZ146" s="82"/>
      <c r="BA146" s="82"/>
      <c r="BB146" s="82"/>
      <c r="BC146" s="82"/>
      <c r="BD146" s="82"/>
      <c r="BE146" s="82"/>
      <c r="BF146" s="82"/>
      <c r="BG146" s="82"/>
      <c r="BH146" s="84"/>
      <c r="BI146" s="82"/>
      <c r="BJ146" s="78"/>
      <c r="BL146" s="76" t="s">
        <v>1202</v>
      </c>
      <c r="BM146" s="76" t="s">
        <v>1351</v>
      </c>
    </row>
    <row r="147" spans="1:65" ht="21.4" customHeight="1">
      <c r="A147" s="78" t="str">
        <f t="shared" si="8"/>
        <v/>
      </c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3"/>
      <c r="M147" s="82"/>
      <c r="N147" s="83"/>
      <c r="O147" s="84"/>
      <c r="P147" s="82"/>
      <c r="Q147" s="85"/>
      <c r="R147" s="82"/>
      <c r="S147" s="82"/>
      <c r="T147" s="82"/>
      <c r="U147" s="82"/>
      <c r="V147" s="82"/>
      <c r="W147" s="82"/>
      <c r="X147" s="82"/>
      <c r="Y147" s="82"/>
      <c r="Z147" s="82"/>
      <c r="AA147" s="85"/>
      <c r="AB147" s="85"/>
      <c r="AC147" s="85"/>
      <c r="AD147" s="84"/>
      <c r="AE147" s="82"/>
      <c r="AF147" s="82"/>
      <c r="AG147" s="85"/>
      <c r="AH147" s="85" t="str">
        <f t="shared" si="9"/>
        <v/>
      </c>
      <c r="AI147" s="85"/>
      <c r="AJ147" s="85"/>
      <c r="AK147" s="85" t="str">
        <f t="shared" si="10"/>
        <v/>
      </c>
      <c r="AL147" s="83" t="str">
        <f t="shared" si="11"/>
        <v/>
      </c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5"/>
      <c r="AX147" s="84"/>
      <c r="AY147" s="82"/>
      <c r="AZ147" s="82"/>
      <c r="BA147" s="82"/>
      <c r="BB147" s="82"/>
      <c r="BC147" s="82"/>
      <c r="BD147" s="82"/>
      <c r="BE147" s="82"/>
      <c r="BF147" s="82"/>
      <c r="BG147" s="82"/>
      <c r="BH147" s="84"/>
      <c r="BI147" s="82"/>
      <c r="BJ147" s="78"/>
      <c r="BL147" s="76" t="s">
        <v>1202</v>
      </c>
      <c r="BM147" s="76" t="s">
        <v>1352</v>
      </c>
    </row>
    <row r="148" spans="1:65" ht="21.4" customHeight="1">
      <c r="A148" s="78" t="str">
        <f t="shared" si="8"/>
        <v/>
      </c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3"/>
      <c r="M148" s="82"/>
      <c r="N148" s="83"/>
      <c r="O148" s="84"/>
      <c r="P148" s="82"/>
      <c r="Q148" s="85"/>
      <c r="R148" s="82"/>
      <c r="S148" s="82"/>
      <c r="T148" s="82"/>
      <c r="U148" s="82"/>
      <c r="V148" s="82"/>
      <c r="W148" s="82"/>
      <c r="X148" s="82"/>
      <c r="Y148" s="82"/>
      <c r="Z148" s="82"/>
      <c r="AA148" s="85"/>
      <c r="AB148" s="85"/>
      <c r="AC148" s="85"/>
      <c r="AD148" s="84"/>
      <c r="AE148" s="82"/>
      <c r="AF148" s="82"/>
      <c r="AG148" s="85"/>
      <c r="AH148" s="85" t="str">
        <f t="shared" si="9"/>
        <v/>
      </c>
      <c r="AI148" s="85"/>
      <c r="AJ148" s="85"/>
      <c r="AK148" s="85" t="str">
        <f t="shared" si="10"/>
        <v/>
      </c>
      <c r="AL148" s="83" t="str">
        <f t="shared" si="11"/>
        <v/>
      </c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5"/>
      <c r="AX148" s="84"/>
      <c r="AY148" s="82"/>
      <c r="AZ148" s="82"/>
      <c r="BA148" s="82"/>
      <c r="BB148" s="82"/>
      <c r="BC148" s="82"/>
      <c r="BD148" s="82"/>
      <c r="BE148" s="82"/>
      <c r="BF148" s="82"/>
      <c r="BG148" s="82"/>
      <c r="BH148" s="84"/>
      <c r="BI148" s="82"/>
      <c r="BJ148" s="78"/>
      <c r="BL148" s="76" t="s">
        <v>1204</v>
      </c>
      <c r="BM148" s="76" t="s">
        <v>1353</v>
      </c>
    </row>
    <row r="149" spans="1:65" ht="21.4" customHeight="1">
      <c r="A149" s="78" t="str">
        <f t="shared" si="8"/>
        <v/>
      </c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3"/>
      <c r="M149" s="82"/>
      <c r="N149" s="83"/>
      <c r="O149" s="84"/>
      <c r="P149" s="82"/>
      <c r="Q149" s="85"/>
      <c r="R149" s="82"/>
      <c r="S149" s="82"/>
      <c r="T149" s="82"/>
      <c r="U149" s="82"/>
      <c r="V149" s="82"/>
      <c r="W149" s="82"/>
      <c r="X149" s="82"/>
      <c r="Y149" s="82"/>
      <c r="Z149" s="82"/>
      <c r="AA149" s="85"/>
      <c r="AB149" s="85"/>
      <c r="AC149" s="85"/>
      <c r="AD149" s="84"/>
      <c r="AE149" s="82"/>
      <c r="AF149" s="82"/>
      <c r="AG149" s="85"/>
      <c r="AH149" s="85" t="str">
        <f t="shared" si="9"/>
        <v/>
      </c>
      <c r="AI149" s="85"/>
      <c r="AJ149" s="85"/>
      <c r="AK149" s="85" t="str">
        <f t="shared" si="10"/>
        <v/>
      </c>
      <c r="AL149" s="83" t="str">
        <f t="shared" si="11"/>
        <v/>
      </c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5"/>
      <c r="AX149" s="84"/>
      <c r="AY149" s="82"/>
      <c r="AZ149" s="82"/>
      <c r="BA149" s="82"/>
      <c r="BB149" s="82"/>
      <c r="BC149" s="82"/>
      <c r="BD149" s="82"/>
      <c r="BE149" s="82"/>
      <c r="BF149" s="82"/>
      <c r="BG149" s="82"/>
      <c r="BH149" s="84"/>
      <c r="BI149" s="82"/>
      <c r="BJ149" s="78"/>
      <c r="BL149" s="76" t="s">
        <v>1204</v>
      </c>
      <c r="BM149" s="76" t="s">
        <v>1354</v>
      </c>
    </row>
    <row r="150" spans="1:65" ht="21.4" customHeight="1">
      <c r="A150" s="78" t="str">
        <f t="shared" si="8"/>
        <v/>
      </c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3"/>
      <c r="M150" s="82"/>
      <c r="N150" s="83"/>
      <c r="O150" s="84"/>
      <c r="P150" s="82"/>
      <c r="Q150" s="85"/>
      <c r="R150" s="82"/>
      <c r="S150" s="82"/>
      <c r="T150" s="82"/>
      <c r="U150" s="82"/>
      <c r="V150" s="82"/>
      <c r="W150" s="82"/>
      <c r="X150" s="82"/>
      <c r="Y150" s="82"/>
      <c r="Z150" s="82"/>
      <c r="AA150" s="85"/>
      <c r="AB150" s="85"/>
      <c r="AC150" s="85"/>
      <c r="AD150" s="84"/>
      <c r="AE150" s="82"/>
      <c r="AF150" s="82"/>
      <c r="AG150" s="85"/>
      <c r="AH150" s="85" t="str">
        <f t="shared" si="9"/>
        <v/>
      </c>
      <c r="AI150" s="85"/>
      <c r="AJ150" s="85"/>
      <c r="AK150" s="85" t="str">
        <f t="shared" si="10"/>
        <v/>
      </c>
      <c r="AL150" s="83" t="str">
        <f t="shared" si="11"/>
        <v/>
      </c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5"/>
      <c r="AX150" s="84"/>
      <c r="AY150" s="82"/>
      <c r="AZ150" s="82"/>
      <c r="BA150" s="82"/>
      <c r="BB150" s="82"/>
      <c r="BC150" s="82"/>
      <c r="BD150" s="82"/>
      <c r="BE150" s="82"/>
      <c r="BF150" s="82"/>
      <c r="BG150" s="82"/>
      <c r="BH150" s="84"/>
      <c r="BI150" s="82"/>
      <c r="BJ150" s="78"/>
      <c r="BL150" s="76" t="s">
        <v>1204</v>
      </c>
      <c r="BM150" s="76" t="s">
        <v>1355</v>
      </c>
    </row>
    <row r="151" spans="1:65" ht="21.4" customHeight="1">
      <c r="A151" s="78" t="str">
        <f t="shared" si="8"/>
        <v/>
      </c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3"/>
      <c r="M151" s="82"/>
      <c r="N151" s="83"/>
      <c r="O151" s="84"/>
      <c r="P151" s="82"/>
      <c r="Q151" s="85"/>
      <c r="R151" s="82"/>
      <c r="S151" s="82"/>
      <c r="T151" s="82"/>
      <c r="U151" s="82"/>
      <c r="V151" s="82"/>
      <c r="W151" s="82"/>
      <c r="X151" s="82"/>
      <c r="Y151" s="82"/>
      <c r="Z151" s="82"/>
      <c r="AA151" s="85"/>
      <c r="AB151" s="85"/>
      <c r="AC151" s="85"/>
      <c r="AD151" s="84"/>
      <c r="AE151" s="82"/>
      <c r="AF151" s="82"/>
      <c r="AG151" s="85"/>
      <c r="AH151" s="85" t="str">
        <f t="shared" si="9"/>
        <v/>
      </c>
      <c r="AI151" s="85"/>
      <c r="AJ151" s="85"/>
      <c r="AK151" s="85" t="str">
        <f t="shared" si="10"/>
        <v/>
      </c>
      <c r="AL151" s="83" t="str">
        <f t="shared" si="11"/>
        <v/>
      </c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5"/>
      <c r="AX151" s="84"/>
      <c r="AY151" s="82"/>
      <c r="AZ151" s="82"/>
      <c r="BA151" s="82"/>
      <c r="BB151" s="82"/>
      <c r="BC151" s="82"/>
      <c r="BD151" s="82"/>
      <c r="BE151" s="82"/>
      <c r="BF151" s="82"/>
      <c r="BG151" s="82"/>
      <c r="BH151" s="84"/>
      <c r="BI151" s="82"/>
      <c r="BJ151" s="78"/>
      <c r="BL151" s="76" t="s">
        <v>1204</v>
      </c>
      <c r="BM151" s="76" t="s">
        <v>1356</v>
      </c>
    </row>
    <row r="152" spans="1:65" ht="21.4" customHeight="1">
      <c r="A152" s="78" t="str">
        <f t="shared" si="8"/>
        <v/>
      </c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3"/>
      <c r="M152" s="82"/>
      <c r="N152" s="83"/>
      <c r="O152" s="84"/>
      <c r="P152" s="82"/>
      <c r="Q152" s="85"/>
      <c r="R152" s="82"/>
      <c r="S152" s="82"/>
      <c r="T152" s="82"/>
      <c r="U152" s="82"/>
      <c r="V152" s="82"/>
      <c r="W152" s="82"/>
      <c r="X152" s="82"/>
      <c r="Y152" s="82"/>
      <c r="Z152" s="82"/>
      <c r="AA152" s="85"/>
      <c r="AB152" s="85"/>
      <c r="AC152" s="85"/>
      <c r="AD152" s="84"/>
      <c r="AE152" s="82"/>
      <c r="AF152" s="82"/>
      <c r="AG152" s="85"/>
      <c r="AH152" s="85" t="str">
        <f t="shared" si="9"/>
        <v/>
      </c>
      <c r="AI152" s="85"/>
      <c r="AJ152" s="85"/>
      <c r="AK152" s="85" t="str">
        <f t="shared" si="10"/>
        <v/>
      </c>
      <c r="AL152" s="83" t="str">
        <f t="shared" si="11"/>
        <v/>
      </c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5"/>
      <c r="AX152" s="84"/>
      <c r="AY152" s="82"/>
      <c r="AZ152" s="82"/>
      <c r="BA152" s="82"/>
      <c r="BB152" s="82"/>
      <c r="BC152" s="82"/>
      <c r="BD152" s="82"/>
      <c r="BE152" s="82"/>
      <c r="BF152" s="82"/>
      <c r="BG152" s="82"/>
      <c r="BH152" s="84"/>
      <c r="BI152" s="82"/>
      <c r="BJ152" s="78"/>
      <c r="BL152" s="76" t="s">
        <v>1204</v>
      </c>
      <c r="BM152" s="76" t="s">
        <v>1357</v>
      </c>
    </row>
    <row r="153" spans="1:65" ht="21.4" customHeight="1">
      <c r="A153" s="78" t="str">
        <f t="shared" si="8"/>
        <v/>
      </c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3"/>
      <c r="M153" s="82"/>
      <c r="N153" s="83"/>
      <c r="O153" s="84"/>
      <c r="P153" s="82"/>
      <c r="Q153" s="85"/>
      <c r="R153" s="82"/>
      <c r="S153" s="82"/>
      <c r="T153" s="82"/>
      <c r="U153" s="82"/>
      <c r="V153" s="82"/>
      <c r="W153" s="82"/>
      <c r="X153" s="82"/>
      <c r="Y153" s="82"/>
      <c r="Z153" s="82"/>
      <c r="AA153" s="85"/>
      <c r="AB153" s="85"/>
      <c r="AC153" s="85"/>
      <c r="AD153" s="84"/>
      <c r="AE153" s="82"/>
      <c r="AF153" s="82"/>
      <c r="AG153" s="85"/>
      <c r="AH153" s="85" t="str">
        <f t="shared" si="9"/>
        <v/>
      </c>
      <c r="AI153" s="85"/>
      <c r="AJ153" s="85"/>
      <c r="AK153" s="85" t="str">
        <f t="shared" si="10"/>
        <v/>
      </c>
      <c r="AL153" s="83" t="str">
        <f t="shared" si="11"/>
        <v/>
      </c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5"/>
      <c r="AX153" s="84"/>
      <c r="AY153" s="82"/>
      <c r="AZ153" s="82"/>
      <c r="BA153" s="82"/>
      <c r="BB153" s="82"/>
      <c r="BC153" s="82"/>
      <c r="BD153" s="82"/>
      <c r="BE153" s="82"/>
      <c r="BF153" s="82"/>
      <c r="BG153" s="82"/>
      <c r="BH153" s="84"/>
      <c r="BI153" s="82"/>
      <c r="BJ153" s="78"/>
      <c r="BL153" s="76" t="s">
        <v>1204</v>
      </c>
      <c r="BM153" s="76" t="s">
        <v>1358</v>
      </c>
    </row>
    <row r="154" spans="1:65" ht="21.4" customHeight="1">
      <c r="A154" s="78" t="str">
        <f t="shared" si="8"/>
        <v/>
      </c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3"/>
      <c r="M154" s="82"/>
      <c r="N154" s="83"/>
      <c r="O154" s="84"/>
      <c r="P154" s="82"/>
      <c r="Q154" s="85"/>
      <c r="R154" s="82"/>
      <c r="S154" s="82"/>
      <c r="T154" s="82"/>
      <c r="U154" s="82"/>
      <c r="V154" s="82"/>
      <c r="W154" s="82"/>
      <c r="X154" s="82"/>
      <c r="Y154" s="82"/>
      <c r="Z154" s="82"/>
      <c r="AA154" s="85"/>
      <c r="AB154" s="85"/>
      <c r="AC154" s="85"/>
      <c r="AD154" s="84"/>
      <c r="AE154" s="82"/>
      <c r="AF154" s="82"/>
      <c r="AG154" s="85"/>
      <c r="AH154" s="85" t="str">
        <f t="shared" si="9"/>
        <v/>
      </c>
      <c r="AI154" s="85"/>
      <c r="AJ154" s="85"/>
      <c r="AK154" s="85" t="str">
        <f t="shared" si="10"/>
        <v/>
      </c>
      <c r="AL154" s="83" t="str">
        <f t="shared" si="11"/>
        <v/>
      </c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5"/>
      <c r="AX154" s="84"/>
      <c r="AY154" s="82"/>
      <c r="AZ154" s="82"/>
      <c r="BA154" s="82"/>
      <c r="BB154" s="82"/>
      <c r="BC154" s="82"/>
      <c r="BD154" s="82"/>
      <c r="BE154" s="82"/>
      <c r="BF154" s="82"/>
      <c r="BG154" s="82"/>
      <c r="BH154" s="84"/>
      <c r="BI154" s="82"/>
      <c r="BJ154" s="78"/>
      <c r="BL154" s="76" t="s">
        <v>1204</v>
      </c>
      <c r="BM154" s="76" t="s">
        <v>1359</v>
      </c>
    </row>
    <row r="155" spans="1:65" ht="21.4" customHeight="1">
      <c r="A155" s="78" t="str">
        <f t="shared" si="8"/>
        <v/>
      </c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3"/>
      <c r="M155" s="82"/>
      <c r="N155" s="83"/>
      <c r="O155" s="84"/>
      <c r="P155" s="82"/>
      <c r="Q155" s="85"/>
      <c r="R155" s="82"/>
      <c r="S155" s="82"/>
      <c r="T155" s="82"/>
      <c r="U155" s="82"/>
      <c r="V155" s="82"/>
      <c r="W155" s="82"/>
      <c r="X155" s="82"/>
      <c r="Y155" s="82"/>
      <c r="Z155" s="82"/>
      <c r="AA155" s="85"/>
      <c r="AB155" s="85"/>
      <c r="AC155" s="85"/>
      <c r="AD155" s="84"/>
      <c r="AE155" s="82"/>
      <c r="AF155" s="82"/>
      <c r="AG155" s="85"/>
      <c r="AH155" s="85" t="str">
        <f t="shared" si="9"/>
        <v/>
      </c>
      <c r="AI155" s="85"/>
      <c r="AJ155" s="85"/>
      <c r="AK155" s="85" t="str">
        <f t="shared" si="10"/>
        <v/>
      </c>
      <c r="AL155" s="83" t="str">
        <f t="shared" si="11"/>
        <v/>
      </c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5"/>
      <c r="AX155" s="84"/>
      <c r="AY155" s="82"/>
      <c r="AZ155" s="82"/>
      <c r="BA155" s="82"/>
      <c r="BB155" s="82"/>
      <c r="BC155" s="82"/>
      <c r="BD155" s="82"/>
      <c r="BE155" s="82"/>
      <c r="BF155" s="82"/>
      <c r="BG155" s="82"/>
      <c r="BH155" s="84"/>
      <c r="BI155" s="82"/>
      <c r="BJ155" s="78"/>
      <c r="BL155" s="76" t="s">
        <v>1204</v>
      </c>
      <c r="BM155" s="76" t="s">
        <v>1360</v>
      </c>
    </row>
    <row r="156" spans="1:65" ht="21.4" customHeight="1">
      <c r="A156" s="78" t="str">
        <f t="shared" si="8"/>
        <v/>
      </c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3"/>
      <c r="M156" s="82"/>
      <c r="N156" s="83"/>
      <c r="O156" s="84"/>
      <c r="P156" s="82"/>
      <c r="Q156" s="85"/>
      <c r="R156" s="82"/>
      <c r="S156" s="82"/>
      <c r="T156" s="82"/>
      <c r="U156" s="82"/>
      <c r="V156" s="82"/>
      <c r="W156" s="82"/>
      <c r="X156" s="82"/>
      <c r="Y156" s="82"/>
      <c r="Z156" s="82"/>
      <c r="AA156" s="85"/>
      <c r="AB156" s="85"/>
      <c r="AC156" s="85"/>
      <c r="AD156" s="84"/>
      <c r="AE156" s="82"/>
      <c r="AF156" s="82"/>
      <c r="AG156" s="85"/>
      <c r="AH156" s="85" t="str">
        <f t="shared" si="9"/>
        <v/>
      </c>
      <c r="AI156" s="85"/>
      <c r="AJ156" s="85"/>
      <c r="AK156" s="85" t="str">
        <f t="shared" si="10"/>
        <v/>
      </c>
      <c r="AL156" s="83" t="str">
        <f t="shared" si="11"/>
        <v/>
      </c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5"/>
      <c r="AX156" s="84"/>
      <c r="AY156" s="82"/>
      <c r="AZ156" s="82"/>
      <c r="BA156" s="82"/>
      <c r="BB156" s="82"/>
      <c r="BC156" s="82"/>
      <c r="BD156" s="82"/>
      <c r="BE156" s="82"/>
      <c r="BF156" s="82"/>
      <c r="BG156" s="82"/>
      <c r="BH156" s="84"/>
      <c r="BI156" s="82"/>
      <c r="BJ156" s="78"/>
      <c r="BL156" s="76" t="s">
        <v>1204</v>
      </c>
      <c r="BM156" s="76" t="s">
        <v>1361</v>
      </c>
    </row>
    <row r="157" spans="1:65" ht="21.4" customHeight="1">
      <c r="A157" s="78" t="str">
        <f t="shared" si="8"/>
        <v/>
      </c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3"/>
      <c r="M157" s="82"/>
      <c r="N157" s="83"/>
      <c r="O157" s="84"/>
      <c r="P157" s="82"/>
      <c r="Q157" s="85"/>
      <c r="R157" s="82"/>
      <c r="S157" s="82"/>
      <c r="T157" s="82"/>
      <c r="U157" s="82"/>
      <c r="V157" s="82"/>
      <c r="W157" s="82"/>
      <c r="X157" s="82"/>
      <c r="Y157" s="82"/>
      <c r="Z157" s="82"/>
      <c r="AA157" s="85"/>
      <c r="AB157" s="85"/>
      <c r="AC157" s="85"/>
      <c r="AD157" s="84"/>
      <c r="AE157" s="82"/>
      <c r="AF157" s="82"/>
      <c r="AG157" s="85"/>
      <c r="AH157" s="85" t="str">
        <f t="shared" si="9"/>
        <v/>
      </c>
      <c r="AI157" s="85"/>
      <c r="AJ157" s="85"/>
      <c r="AK157" s="85" t="str">
        <f t="shared" si="10"/>
        <v/>
      </c>
      <c r="AL157" s="83" t="str">
        <f t="shared" si="11"/>
        <v/>
      </c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5"/>
      <c r="AX157" s="84"/>
      <c r="AY157" s="82"/>
      <c r="AZ157" s="82"/>
      <c r="BA157" s="82"/>
      <c r="BB157" s="82"/>
      <c r="BC157" s="82"/>
      <c r="BD157" s="82"/>
      <c r="BE157" s="82"/>
      <c r="BF157" s="82"/>
      <c r="BG157" s="82"/>
      <c r="BH157" s="84"/>
      <c r="BI157" s="82"/>
      <c r="BJ157" s="78"/>
      <c r="BL157" s="76" t="s">
        <v>1204</v>
      </c>
      <c r="BM157" s="76" t="s">
        <v>1362</v>
      </c>
    </row>
    <row r="158" spans="1:65" ht="21.4" customHeight="1">
      <c r="A158" s="78" t="str">
        <f t="shared" si="8"/>
        <v/>
      </c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3"/>
      <c r="M158" s="82"/>
      <c r="N158" s="83"/>
      <c r="O158" s="84"/>
      <c r="P158" s="82"/>
      <c r="Q158" s="85"/>
      <c r="R158" s="82"/>
      <c r="S158" s="82"/>
      <c r="T158" s="82"/>
      <c r="U158" s="82"/>
      <c r="V158" s="82"/>
      <c r="W158" s="82"/>
      <c r="X158" s="82"/>
      <c r="Y158" s="82"/>
      <c r="Z158" s="82"/>
      <c r="AA158" s="85"/>
      <c r="AB158" s="85"/>
      <c r="AC158" s="85"/>
      <c r="AD158" s="84"/>
      <c r="AE158" s="82"/>
      <c r="AF158" s="82"/>
      <c r="AG158" s="85"/>
      <c r="AH158" s="85" t="str">
        <f t="shared" si="9"/>
        <v/>
      </c>
      <c r="AI158" s="85"/>
      <c r="AJ158" s="85"/>
      <c r="AK158" s="85" t="str">
        <f t="shared" si="10"/>
        <v/>
      </c>
      <c r="AL158" s="83" t="str">
        <f t="shared" si="11"/>
        <v/>
      </c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5"/>
      <c r="AX158" s="84"/>
      <c r="AY158" s="82"/>
      <c r="AZ158" s="82"/>
      <c r="BA158" s="82"/>
      <c r="BB158" s="82"/>
      <c r="BC158" s="82"/>
      <c r="BD158" s="82"/>
      <c r="BE158" s="82"/>
      <c r="BF158" s="82"/>
      <c r="BG158" s="82"/>
      <c r="BH158" s="84"/>
      <c r="BI158" s="82"/>
      <c r="BJ158" s="78"/>
      <c r="BL158" s="76" t="s">
        <v>1204</v>
      </c>
      <c r="BM158" s="76" t="s">
        <v>1363</v>
      </c>
    </row>
    <row r="159" spans="1:65" ht="21.4" customHeight="1">
      <c r="A159" s="78" t="str">
        <f t="shared" si="8"/>
        <v/>
      </c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3"/>
      <c r="M159" s="82"/>
      <c r="N159" s="83"/>
      <c r="O159" s="84"/>
      <c r="P159" s="82"/>
      <c r="Q159" s="85"/>
      <c r="R159" s="82"/>
      <c r="S159" s="82"/>
      <c r="T159" s="82"/>
      <c r="U159" s="82"/>
      <c r="V159" s="82"/>
      <c r="W159" s="82"/>
      <c r="X159" s="82"/>
      <c r="Y159" s="82"/>
      <c r="Z159" s="82"/>
      <c r="AA159" s="85"/>
      <c r="AB159" s="85"/>
      <c r="AC159" s="85"/>
      <c r="AD159" s="84"/>
      <c r="AE159" s="82"/>
      <c r="AF159" s="82"/>
      <c r="AG159" s="85"/>
      <c r="AH159" s="85" t="str">
        <f t="shared" si="9"/>
        <v/>
      </c>
      <c r="AI159" s="85"/>
      <c r="AJ159" s="85"/>
      <c r="AK159" s="85" t="str">
        <f t="shared" si="10"/>
        <v/>
      </c>
      <c r="AL159" s="83" t="str">
        <f t="shared" si="11"/>
        <v/>
      </c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5"/>
      <c r="AX159" s="84"/>
      <c r="AY159" s="82"/>
      <c r="AZ159" s="82"/>
      <c r="BA159" s="82"/>
      <c r="BB159" s="82"/>
      <c r="BC159" s="82"/>
      <c r="BD159" s="82"/>
      <c r="BE159" s="82"/>
      <c r="BF159" s="82"/>
      <c r="BG159" s="82"/>
      <c r="BH159" s="84"/>
      <c r="BI159" s="82"/>
      <c r="BJ159" s="78"/>
      <c r="BL159" s="76" t="s">
        <v>1204</v>
      </c>
      <c r="BM159" s="76" t="s">
        <v>1364</v>
      </c>
    </row>
    <row r="160" spans="1:65" ht="21.4" customHeight="1">
      <c r="A160" s="78" t="str">
        <f t="shared" si="8"/>
        <v/>
      </c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3"/>
      <c r="M160" s="82"/>
      <c r="N160" s="83"/>
      <c r="O160" s="84"/>
      <c r="P160" s="82"/>
      <c r="Q160" s="85"/>
      <c r="R160" s="82"/>
      <c r="S160" s="82"/>
      <c r="T160" s="82"/>
      <c r="U160" s="82"/>
      <c r="V160" s="82"/>
      <c r="W160" s="82"/>
      <c r="X160" s="82"/>
      <c r="Y160" s="82"/>
      <c r="Z160" s="82"/>
      <c r="AA160" s="85"/>
      <c r="AB160" s="85"/>
      <c r="AC160" s="85"/>
      <c r="AD160" s="84"/>
      <c r="AE160" s="82"/>
      <c r="AF160" s="82"/>
      <c r="AG160" s="85"/>
      <c r="AH160" s="85" t="str">
        <f t="shared" si="9"/>
        <v/>
      </c>
      <c r="AI160" s="85"/>
      <c r="AJ160" s="85"/>
      <c r="AK160" s="85" t="str">
        <f t="shared" si="10"/>
        <v/>
      </c>
      <c r="AL160" s="83" t="str">
        <f t="shared" si="11"/>
        <v/>
      </c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5"/>
      <c r="AX160" s="84"/>
      <c r="AY160" s="82"/>
      <c r="AZ160" s="82"/>
      <c r="BA160" s="82"/>
      <c r="BB160" s="82"/>
      <c r="BC160" s="82"/>
      <c r="BD160" s="82"/>
      <c r="BE160" s="82"/>
      <c r="BF160" s="82"/>
      <c r="BG160" s="82"/>
      <c r="BH160" s="84"/>
      <c r="BI160" s="82"/>
      <c r="BJ160" s="78"/>
      <c r="BL160" s="76" t="s">
        <v>1204</v>
      </c>
      <c r="BM160" s="76" t="s">
        <v>1365</v>
      </c>
    </row>
    <row r="161" spans="1:65" ht="21.4" customHeight="1">
      <c r="A161" s="78" t="str">
        <f t="shared" si="8"/>
        <v/>
      </c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3"/>
      <c r="M161" s="82"/>
      <c r="N161" s="83"/>
      <c r="O161" s="84"/>
      <c r="P161" s="82"/>
      <c r="Q161" s="85"/>
      <c r="R161" s="82"/>
      <c r="S161" s="82"/>
      <c r="T161" s="82"/>
      <c r="U161" s="82"/>
      <c r="V161" s="82"/>
      <c r="W161" s="82"/>
      <c r="X161" s="82"/>
      <c r="Y161" s="82"/>
      <c r="Z161" s="82"/>
      <c r="AA161" s="85"/>
      <c r="AB161" s="85"/>
      <c r="AC161" s="85"/>
      <c r="AD161" s="84"/>
      <c r="AE161" s="82"/>
      <c r="AF161" s="82"/>
      <c r="AG161" s="85"/>
      <c r="AH161" s="85" t="str">
        <f t="shared" si="9"/>
        <v/>
      </c>
      <c r="AI161" s="85"/>
      <c r="AJ161" s="85"/>
      <c r="AK161" s="85" t="str">
        <f t="shared" si="10"/>
        <v/>
      </c>
      <c r="AL161" s="83" t="str">
        <f t="shared" si="11"/>
        <v/>
      </c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5"/>
      <c r="AX161" s="84"/>
      <c r="AY161" s="82"/>
      <c r="AZ161" s="82"/>
      <c r="BA161" s="82"/>
      <c r="BB161" s="82"/>
      <c r="BC161" s="82"/>
      <c r="BD161" s="82"/>
      <c r="BE161" s="82"/>
      <c r="BF161" s="82"/>
      <c r="BG161" s="82"/>
      <c r="BH161" s="84"/>
      <c r="BI161" s="82"/>
      <c r="BJ161" s="78"/>
      <c r="BL161" s="76" t="s">
        <v>1204</v>
      </c>
      <c r="BM161" s="76" t="s">
        <v>1366</v>
      </c>
    </row>
    <row r="162" spans="1:65" ht="21.4" customHeight="1">
      <c r="A162" s="78" t="str">
        <f t="shared" si="8"/>
        <v/>
      </c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3"/>
      <c r="M162" s="82"/>
      <c r="N162" s="83"/>
      <c r="O162" s="84"/>
      <c r="P162" s="82"/>
      <c r="Q162" s="85"/>
      <c r="R162" s="82"/>
      <c r="S162" s="82"/>
      <c r="T162" s="82"/>
      <c r="U162" s="82"/>
      <c r="V162" s="82"/>
      <c r="W162" s="82"/>
      <c r="X162" s="82"/>
      <c r="Y162" s="82"/>
      <c r="Z162" s="82"/>
      <c r="AA162" s="85"/>
      <c r="AB162" s="85"/>
      <c r="AC162" s="85"/>
      <c r="AD162" s="84"/>
      <c r="AE162" s="82"/>
      <c r="AF162" s="82"/>
      <c r="AG162" s="85"/>
      <c r="AH162" s="85" t="str">
        <f t="shared" si="9"/>
        <v/>
      </c>
      <c r="AI162" s="85"/>
      <c r="AJ162" s="85"/>
      <c r="AK162" s="85" t="str">
        <f t="shared" si="10"/>
        <v/>
      </c>
      <c r="AL162" s="83" t="str">
        <f t="shared" si="11"/>
        <v/>
      </c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5"/>
      <c r="AX162" s="84"/>
      <c r="AY162" s="82"/>
      <c r="AZ162" s="82"/>
      <c r="BA162" s="82"/>
      <c r="BB162" s="82"/>
      <c r="BC162" s="82"/>
      <c r="BD162" s="82"/>
      <c r="BE162" s="82"/>
      <c r="BF162" s="82"/>
      <c r="BG162" s="82"/>
      <c r="BH162" s="84"/>
      <c r="BI162" s="82"/>
      <c r="BJ162" s="78"/>
      <c r="BL162" s="76" t="s">
        <v>1206</v>
      </c>
      <c r="BM162" s="76" t="s">
        <v>1367</v>
      </c>
    </row>
    <row r="163" spans="1:65" ht="21.4" customHeight="1">
      <c r="A163" s="78" t="str">
        <f t="shared" si="8"/>
        <v/>
      </c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3"/>
      <c r="M163" s="82"/>
      <c r="N163" s="83"/>
      <c r="O163" s="84"/>
      <c r="P163" s="82"/>
      <c r="Q163" s="85"/>
      <c r="R163" s="82"/>
      <c r="S163" s="82"/>
      <c r="T163" s="82"/>
      <c r="U163" s="82"/>
      <c r="V163" s="82"/>
      <c r="W163" s="82"/>
      <c r="X163" s="82"/>
      <c r="Y163" s="82"/>
      <c r="Z163" s="82"/>
      <c r="AA163" s="85"/>
      <c r="AB163" s="85"/>
      <c r="AC163" s="85"/>
      <c r="AD163" s="84"/>
      <c r="AE163" s="82"/>
      <c r="AF163" s="82"/>
      <c r="AG163" s="85"/>
      <c r="AH163" s="85" t="str">
        <f t="shared" si="9"/>
        <v/>
      </c>
      <c r="AI163" s="85"/>
      <c r="AJ163" s="85"/>
      <c r="AK163" s="85" t="str">
        <f t="shared" si="10"/>
        <v/>
      </c>
      <c r="AL163" s="83" t="str">
        <f t="shared" si="11"/>
        <v/>
      </c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5"/>
      <c r="AX163" s="84"/>
      <c r="AY163" s="82"/>
      <c r="AZ163" s="82"/>
      <c r="BA163" s="82"/>
      <c r="BB163" s="82"/>
      <c r="BC163" s="82"/>
      <c r="BD163" s="82"/>
      <c r="BE163" s="82"/>
      <c r="BF163" s="82"/>
      <c r="BG163" s="82"/>
      <c r="BH163" s="84"/>
      <c r="BI163" s="82"/>
      <c r="BJ163" s="78"/>
      <c r="BL163" s="76" t="s">
        <v>1206</v>
      </c>
      <c r="BM163" s="76" t="s">
        <v>1368</v>
      </c>
    </row>
    <row r="164" spans="1:65" ht="21.4" customHeight="1">
      <c r="A164" s="78" t="str">
        <f t="shared" si="8"/>
        <v/>
      </c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3"/>
      <c r="M164" s="82"/>
      <c r="N164" s="83"/>
      <c r="O164" s="84"/>
      <c r="P164" s="82"/>
      <c r="Q164" s="85"/>
      <c r="R164" s="82"/>
      <c r="S164" s="82"/>
      <c r="T164" s="82"/>
      <c r="U164" s="82"/>
      <c r="V164" s="82"/>
      <c r="W164" s="82"/>
      <c r="X164" s="82"/>
      <c r="Y164" s="82"/>
      <c r="Z164" s="82"/>
      <c r="AA164" s="85"/>
      <c r="AB164" s="85"/>
      <c r="AC164" s="85"/>
      <c r="AD164" s="84"/>
      <c r="AE164" s="82"/>
      <c r="AF164" s="82"/>
      <c r="AG164" s="85"/>
      <c r="AH164" s="85" t="str">
        <f t="shared" si="9"/>
        <v/>
      </c>
      <c r="AI164" s="85"/>
      <c r="AJ164" s="85"/>
      <c r="AK164" s="85" t="str">
        <f t="shared" si="10"/>
        <v/>
      </c>
      <c r="AL164" s="83" t="str">
        <f t="shared" si="11"/>
        <v/>
      </c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5"/>
      <c r="AX164" s="84"/>
      <c r="AY164" s="82"/>
      <c r="AZ164" s="82"/>
      <c r="BA164" s="82"/>
      <c r="BB164" s="82"/>
      <c r="BC164" s="82"/>
      <c r="BD164" s="82"/>
      <c r="BE164" s="82"/>
      <c r="BF164" s="82"/>
      <c r="BG164" s="82"/>
      <c r="BH164" s="84"/>
      <c r="BI164" s="82"/>
      <c r="BJ164" s="78"/>
      <c r="BL164" s="76" t="s">
        <v>1206</v>
      </c>
      <c r="BM164" s="76" t="s">
        <v>1369</v>
      </c>
    </row>
    <row r="165" spans="1:65" ht="21.4" customHeight="1">
      <c r="A165" s="78" t="str">
        <f t="shared" si="8"/>
        <v/>
      </c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3"/>
      <c r="M165" s="82"/>
      <c r="N165" s="83"/>
      <c r="O165" s="84"/>
      <c r="P165" s="82"/>
      <c r="Q165" s="85"/>
      <c r="R165" s="82"/>
      <c r="S165" s="82"/>
      <c r="T165" s="82"/>
      <c r="U165" s="82"/>
      <c r="V165" s="82"/>
      <c r="W165" s="82"/>
      <c r="X165" s="82"/>
      <c r="Y165" s="82"/>
      <c r="Z165" s="82"/>
      <c r="AA165" s="85"/>
      <c r="AB165" s="85"/>
      <c r="AC165" s="85"/>
      <c r="AD165" s="84"/>
      <c r="AE165" s="82"/>
      <c r="AF165" s="82"/>
      <c r="AG165" s="85"/>
      <c r="AH165" s="85" t="str">
        <f t="shared" si="9"/>
        <v/>
      </c>
      <c r="AI165" s="85"/>
      <c r="AJ165" s="85"/>
      <c r="AK165" s="85" t="str">
        <f t="shared" si="10"/>
        <v/>
      </c>
      <c r="AL165" s="83" t="str">
        <f t="shared" si="11"/>
        <v/>
      </c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5"/>
      <c r="AX165" s="84"/>
      <c r="AY165" s="82"/>
      <c r="AZ165" s="82"/>
      <c r="BA165" s="82"/>
      <c r="BB165" s="82"/>
      <c r="BC165" s="82"/>
      <c r="BD165" s="82"/>
      <c r="BE165" s="82"/>
      <c r="BF165" s="82"/>
      <c r="BG165" s="82"/>
      <c r="BH165" s="84"/>
      <c r="BI165" s="82"/>
      <c r="BJ165" s="78"/>
      <c r="BL165" s="76" t="s">
        <v>1206</v>
      </c>
      <c r="BM165" s="76" t="s">
        <v>979</v>
      </c>
    </row>
    <row r="166" spans="1:65" ht="21.4" customHeight="1">
      <c r="A166" s="78" t="str">
        <f t="shared" si="8"/>
        <v/>
      </c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3"/>
      <c r="M166" s="82"/>
      <c r="N166" s="83"/>
      <c r="O166" s="84"/>
      <c r="P166" s="82"/>
      <c r="Q166" s="85"/>
      <c r="R166" s="82"/>
      <c r="S166" s="82"/>
      <c r="T166" s="82"/>
      <c r="U166" s="82"/>
      <c r="V166" s="82"/>
      <c r="W166" s="82"/>
      <c r="X166" s="82"/>
      <c r="Y166" s="82"/>
      <c r="Z166" s="82"/>
      <c r="AA166" s="85"/>
      <c r="AB166" s="85"/>
      <c r="AC166" s="85"/>
      <c r="AD166" s="84"/>
      <c r="AE166" s="82"/>
      <c r="AF166" s="82"/>
      <c r="AG166" s="85"/>
      <c r="AH166" s="85" t="str">
        <f t="shared" si="9"/>
        <v/>
      </c>
      <c r="AI166" s="85"/>
      <c r="AJ166" s="85"/>
      <c r="AK166" s="85" t="str">
        <f t="shared" si="10"/>
        <v/>
      </c>
      <c r="AL166" s="83" t="str">
        <f t="shared" si="11"/>
        <v/>
      </c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5"/>
      <c r="AX166" s="84"/>
      <c r="AY166" s="82"/>
      <c r="AZ166" s="82"/>
      <c r="BA166" s="82"/>
      <c r="BB166" s="82"/>
      <c r="BC166" s="82"/>
      <c r="BD166" s="82"/>
      <c r="BE166" s="82"/>
      <c r="BF166" s="82"/>
      <c r="BG166" s="82"/>
      <c r="BH166" s="84"/>
      <c r="BI166" s="82"/>
      <c r="BJ166" s="78"/>
      <c r="BL166" s="76" t="s">
        <v>1206</v>
      </c>
      <c r="BM166" s="76" t="s">
        <v>980</v>
      </c>
    </row>
    <row r="167" spans="1:65" ht="21.4" customHeight="1">
      <c r="A167" s="78" t="str">
        <f t="shared" si="8"/>
        <v/>
      </c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3"/>
      <c r="M167" s="82"/>
      <c r="N167" s="83"/>
      <c r="O167" s="84"/>
      <c r="P167" s="82"/>
      <c r="Q167" s="85"/>
      <c r="R167" s="82"/>
      <c r="S167" s="82"/>
      <c r="T167" s="82"/>
      <c r="U167" s="82"/>
      <c r="V167" s="82"/>
      <c r="W167" s="82"/>
      <c r="X167" s="82"/>
      <c r="Y167" s="82"/>
      <c r="Z167" s="82"/>
      <c r="AA167" s="85"/>
      <c r="AB167" s="85"/>
      <c r="AC167" s="85"/>
      <c r="AD167" s="84"/>
      <c r="AE167" s="82"/>
      <c r="AF167" s="82"/>
      <c r="AG167" s="85"/>
      <c r="AH167" s="85" t="str">
        <f t="shared" si="9"/>
        <v/>
      </c>
      <c r="AI167" s="85"/>
      <c r="AJ167" s="85"/>
      <c r="AK167" s="85" t="str">
        <f t="shared" si="10"/>
        <v/>
      </c>
      <c r="AL167" s="83" t="str">
        <f t="shared" si="11"/>
        <v/>
      </c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5"/>
      <c r="AX167" s="84"/>
      <c r="AY167" s="82"/>
      <c r="AZ167" s="82"/>
      <c r="BA167" s="82"/>
      <c r="BB167" s="82"/>
      <c r="BC167" s="82"/>
      <c r="BD167" s="82"/>
      <c r="BE167" s="82"/>
      <c r="BF167" s="82"/>
      <c r="BG167" s="82"/>
      <c r="BH167" s="84"/>
      <c r="BI167" s="82"/>
      <c r="BJ167" s="78"/>
      <c r="BL167" s="76" t="s">
        <v>1206</v>
      </c>
      <c r="BM167" s="76" t="s">
        <v>1370</v>
      </c>
    </row>
    <row r="168" spans="1:65" ht="21.4" customHeight="1">
      <c r="A168" s="78" t="str">
        <f t="shared" si="8"/>
        <v/>
      </c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3"/>
      <c r="M168" s="82"/>
      <c r="N168" s="83"/>
      <c r="O168" s="84"/>
      <c r="P168" s="82"/>
      <c r="Q168" s="85"/>
      <c r="R168" s="82"/>
      <c r="S168" s="82"/>
      <c r="T168" s="82"/>
      <c r="U168" s="82"/>
      <c r="V168" s="82"/>
      <c r="W168" s="82"/>
      <c r="X168" s="82"/>
      <c r="Y168" s="82"/>
      <c r="Z168" s="82"/>
      <c r="AA168" s="85"/>
      <c r="AB168" s="85"/>
      <c r="AC168" s="85"/>
      <c r="AD168" s="84"/>
      <c r="AE168" s="82"/>
      <c r="AF168" s="82"/>
      <c r="AG168" s="85"/>
      <c r="AH168" s="85" t="str">
        <f t="shared" si="9"/>
        <v/>
      </c>
      <c r="AI168" s="85"/>
      <c r="AJ168" s="85"/>
      <c r="AK168" s="85" t="str">
        <f t="shared" si="10"/>
        <v/>
      </c>
      <c r="AL168" s="83" t="str">
        <f t="shared" si="11"/>
        <v/>
      </c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5"/>
      <c r="AX168" s="84"/>
      <c r="AY168" s="82"/>
      <c r="AZ168" s="82"/>
      <c r="BA168" s="82"/>
      <c r="BB168" s="82"/>
      <c r="BC168" s="82"/>
      <c r="BD168" s="82"/>
      <c r="BE168" s="82"/>
      <c r="BF168" s="82"/>
      <c r="BG168" s="82"/>
      <c r="BH168" s="84"/>
      <c r="BI168" s="82"/>
      <c r="BJ168" s="78"/>
      <c r="BL168" s="76" t="s">
        <v>1206</v>
      </c>
      <c r="BM168" s="76" t="s">
        <v>977</v>
      </c>
    </row>
    <row r="169" spans="1:65" ht="21.4" customHeight="1">
      <c r="A169" s="78" t="str">
        <f t="shared" si="8"/>
        <v/>
      </c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3"/>
      <c r="M169" s="82"/>
      <c r="N169" s="83"/>
      <c r="O169" s="84"/>
      <c r="P169" s="82"/>
      <c r="Q169" s="85"/>
      <c r="R169" s="82"/>
      <c r="S169" s="82"/>
      <c r="T169" s="82"/>
      <c r="U169" s="82"/>
      <c r="V169" s="82"/>
      <c r="W169" s="82"/>
      <c r="X169" s="82"/>
      <c r="Y169" s="82"/>
      <c r="Z169" s="82"/>
      <c r="AA169" s="85"/>
      <c r="AB169" s="85"/>
      <c r="AC169" s="85"/>
      <c r="AD169" s="84"/>
      <c r="AE169" s="82"/>
      <c r="AF169" s="82"/>
      <c r="AG169" s="85"/>
      <c r="AH169" s="85" t="str">
        <f t="shared" si="9"/>
        <v/>
      </c>
      <c r="AI169" s="85"/>
      <c r="AJ169" s="85"/>
      <c r="AK169" s="85" t="str">
        <f t="shared" si="10"/>
        <v/>
      </c>
      <c r="AL169" s="83" t="str">
        <f t="shared" si="11"/>
        <v/>
      </c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5"/>
      <c r="AX169" s="84"/>
      <c r="AY169" s="82"/>
      <c r="AZ169" s="82"/>
      <c r="BA169" s="82"/>
      <c r="BB169" s="82"/>
      <c r="BC169" s="82"/>
      <c r="BD169" s="82"/>
      <c r="BE169" s="82"/>
      <c r="BF169" s="82"/>
      <c r="BG169" s="82"/>
      <c r="BH169" s="84"/>
      <c r="BI169" s="82"/>
      <c r="BJ169" s="78"/>
      <c r="BL169" s="76" t="s">
        <v>1206</v>
      </c>
      <c r="BM169" s="76" t="s">
        <v>1371</v>
      </c>
    </row>
    <row r="170" spans="1:65" ht="21.4" customHeight="1">
      <c r="A170" s="78" t="str">
        <f t="shared" si="8"/>
        <v/>
      </c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3"/>
      <c r="M170" s="82"/>
      <c r="N170" s="83"/>
      <c r="O170" s="84"/>
      <c r="P170" s="82"/>
      <c r="Q170" s="85"/>
      <c r="R170" s="82"/>
      <c r="S170" s="82"/>
      <c r="T170" s="82"/>
      <c r="U170" s="82"/>
      <c r="V170" s="82"/>
      <c r="W170" s="82"/>
      <c r="X170" s="82"/>
      <c r="Y170" s="82"/>
      <c r="Z170" s="82"/>
      <c r="AA170" s="85"/>
      <c r="AB170" s="85"/>
      <c r="AC170" s="85"/>
      <c r="AD170" s="84"/>
      <c r="AE170" s="82"/>
      <c r="AF170" s="82"/>
      <c r="AG170" s="85"/>
      <c r="AH170" s="85" t="str">
        <f t="shared" si="9"/>
        <v/>
      </c>
      <c r="AI170" s="85"/>
      <c r="AJ170" s="85"/>
      <c r="AK170" s="85" t="str">
        <f t="shared" si="10"/>
        <v/>
      </c>
      <c r="AL170" s="83" t="str">
        <f t="shared" si="11"/>
        <v/>
      </c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5"/>
      <c r="AX170" s="84"/>
      <c r="AY170" s="82"/>
      <c r="AZ170" s="82"/>
      <c r="BA170" s="82"/>
      <c r="BB170" s="82"/>
      <c r="BC170" s="82"/>
      <c r="BD170" s="82"/>
      <c r="BE170" s="82"/>
      <c r="BF170" s="82"/>
      <c r="BG170" s="82"/>
      <c r="BH170" s="84"/>
      <c r="BI170" s="82"/>
      <c r="BJ170" s="78"/>
      <c r="BL170" s="76" t="s">
        <v>1206</v>
      </c>
      <c r="BM170" s="76" t="s">
        <v>1372</v>
      </c>
    </row>
    <row r="171" spans="1:65" ht="21.4" customHeight="1">
      <c r="A171" s="78" t="str">
        <f t="shared" si="8"/>
        <v/>
      </c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3"/>
      <c r="M171" s="82"/>
      <c r="N171" s="83"/>
      <c r="O171" s="84"/>
      <c r="P171" s="82"/>
      <c r="Q171" s="85"/>
      <c r="R171" s="82"/>
      <c r="S171" s="82"/>
      <c r="T171" s="82"/>
      <c r="U171" s="82"/>
      <c r="V171" s="82"/>
      <c r="W171" s="82"/>
      <c r="X171" s="82"/>
      <c r="Y171" s="82"/>
      <c r="Z171" s="82"/>
      <c r="AA171" s="85"/>
      <c r="AB171" s="85"/>
      <c r="AC171" s="85"/>
      <c r="AD171" s="84"/>
      <c r="AE171" s="82"/>
      <c r="AF171" s="82"/>
      <c r="AG171" s="85"/>
      <c r="AH171" s="85" t="str">
        <f t="shared" si="9"/>
        <v/>
      </c>
      <c r="AI171" s="85"/>
      <c r="AJ171" s="85"/>
      <c r="AK171" s="85" t="str">
        <f t="shared" si="10"/>
        <v/>
      </c>
      <c r="AL171" s="83" t="str">
        <f t="shared" si="11"/>
        <v/>
      </c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5"/>
      <c r="AX171" s="84"/>
      <c r="AY171" s="82"/>
      <c r="AZ171" s="82"/>
      <c r="BA171" s="82"/>
      <c r="BB171" s="82"/>
      <c r="BC171" s="82"/>
      <c r="BD171" s="82"/>
      <c r="BE171" s="82"/>
      <c r="BF171" s="82"/>
      <c r="BG171" s="82"/>
      <c r="BH171" s="84"/>
      <c r="BI171" s="82"/>
      <c r="BJ171" s="78"/>
      <c r="BL171" s="76" t="s">
        <v>1208</v>
      </c>
      <c r="BM171" s="76" t="s">
        <v>1373</v>
      </c>
    </row>
    <row r="172" spans="1:65" ht="21.4" customHeight="1">
      <c r="A172" s="78" t="str">
        <f t="shared" si="8"/>
        <v/>
      </c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3"/>
      <c r="M172" s="82"/>
      <c r="N172" s="83"/>
      <c r="O172" s="84"/>
      <c r="P172" s="82"/>
      <c r="Q172" s="85"/>
      <c r="R172" s="82"/>
      <c r="S172" s="82"/>
      <c r="T172" s="82"/>
      <c r="U172" s="82"/>
      <c r="V172" s="82"/>
      <c r="W172" s="82"/>
      <c r="X172" s="82"/>
      <c r="Y172" s="82"/>
      <c r="Z172" s="82"/>
      <c r="AA172" s="85"/>
      <c r="AB172" s="85"/>
      <c r="AC172" s="85"/>
      <c r="AD172" s="84"/>
      <c r="AE172" s="82"/>
      <c r="AF172" s="82"/>
      <c r="AG172" s="85"/>
      <c r="AH172" s="85" t="str">
        <f t="shared" si="9"/>
        <v/>
      </c>
      <c r="AI172" s="85"/>
      <c r="AJ172" s="85"/>
      <c r="AK172" s="85" t="str">
        <f t="shared" si="10"/>
        <v/>
      </c>
      <c r="AL172" s="83" t="str">
        <f t="shared" si="11"/>
        <v/>
      </c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5"/>
      <c r="AX172" s="84"/>
      <c r="AY172" s="82"/>
      <c r="AZ172" s="82"/>
      <c r="BA172" s="82"/>
      <c r="BB172" s="82"/>
      <c r="BC172" s="82"/>
      <c r="BD172" s="82"/>
      <c r="BE172" s="82"/>
      <c r="BF172" s="82"/>
      <c r="BG172" s="82"/>
      <c r="BH172" s="84"/>
      <c r="BI172" s="82"/>
      <c r="BJ172" s="78"/>
      <c r="BL172" s="76" t="s">
        <v>1208</v>
      </c>
      <c r="BM172" s="76" t="s">
        <v>1374</v>
      </c>
    </row>
    <row r="173" spans="1:65" ht="21.4" customHeight="1">
      <c r="A173" s="78" t="str">
        <f t="shared" si="8"/>
        <v/>
      </c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3"/>
      <c r="M173" s="82"/>
      <c r="N173" s="83"/>
      <c r="O173" s="84"/>
      <c r="P173" s="82"/>
      <c r="Q173" s="85"/>
      <c r="R173" s="82"/>
      <c r="S173" s="82"/>
      <c r="T173" s="82"/>
      <c r="U173" s="82"/>
      <c r="V173" s="82"/>
      <c r="W173" s="82"/>
      <c r="X173" s="82"/>
      <c r="Y173" s="82"/>
      <c r="Z173" s="82"/>
      <c r="AA173" s="85"/>
      <c r="AB173" s="85"/>
      <c r="AC173" s="85"/>
      <c r="AD173" s="84"/>
      <c r="AE173" s="82"/>
      <c r="AF173" s="82"/>
      <c r="AG173" s="85"/>
      <c r="AH173" s="85" t="str">
        <f t="shared" si="9"/>
        <v/>
      </c>
      <c r="AI173" s="85"/>
      <c r="AJ173" s="85"/>
      <c r="AK173" s="85" t="str">
        <f t="shared" si="10"/>
        <v/>
      </c>
      <c r="AL173" s="83" t="str">
        <f t="shared" si="11"/>
        <v/>
      </c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5"/>
      <c r="AX173" s="84"/>
      <c r="AY173" s="82"/>
      <c r="AZ173" s="82"/>
      <c r="BA173" s="82"/>
      <c r="BB173" s="82"/>
      <c r="BC173" s="82"/>
      <c r="BD173" s="82"/>
      <c r="BE173" s="82"/>
      <c r="BF173" s="82"/>
      <c r="BG173" s="82"/>
      <c r="BH173" s="84"/>
      <c r="BI173" s="82"/>
      <c r="BJ173" s="78"/>
      <c r="BL173" s="76" t="s">
        <v>1208</v>
      </c>
      <c r="BM173" s="76" t="s">
        <v>1375</v>
      </c>
    </row>
    <row r="174" spans="1:65" ht="21.4" customHeight="1">
      <c r="A174" s="78" t="str">
        <f t="shared" si="8"/>
        <v/>
      </c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3"/>
      <c r="M174" s="82"/>
      <c r="N174" s="83"/>
      <c r="O174" s="84"/>
      <c r="P174" s="82"/>
      <c r="Q174" s="85"/>
      <c r="R174" s="82"/>
      <c r="S174" s="82"/>
      <c r="T174" s="82"/>
      <c r="U174" s="82"/>
      <c r="V174" s="82"/>
      <c r="W174" s="82"/>
      <c r="X174" s="82"/>
      <c r="Y174" s="82"/>
      <c r="Z174" s="82"/>
      <c r="AA174" s="85"/>
      <c r="AB174" s="85"/>
      <c r="AC174" s="85"/>
      <c r="AD174" s="84"/>
      <c r="AE174" s="82"/>
      <c r="AF174" s="82"/>
      <c r="AG174" s="85"/>
      <c r="AH174" s="85" t="str">
        <f t="shared" si="9"/>
        <v/>
      </c>
      <c r="AI174" s="85"/>
      <c r="AJ174" s="85"/>
      <c r="AK174" s="85" t="str">
        <f t="shared" si="10"/>
        <v/>
      </c>
      <c r="AL174" s="83" t="str">
        <f t="shared" si="11"/>
        <v/>
      </c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5"/>
      <c r="AX174" s="84"/>
      <c r="AY174" s="82"/>
      <c r="AZ174" s="82"/>
      <c r="BA174" s="82"/>
      <c r="BB174" s="82"/>
      <c r="BC174" s="82"/>
      <c r="BD174" s="82"/>
      <c r="BE174" s="82"/>
      <c r="BF174" s="82"/>
      <c r="BG174" s="82"/>
      <c r="BH174" s="84"/>
      <c r="BI174" s="82"/>
      <c r="BJ174" s="78"/>
      <c r="BL174" s="76" t="s">
        <v>1208</v>
      </c>
      <c r="BM174" s="76" t="s">
        <v>1376</v>
      </c>
    </row>
    <row r="175" spans="1:65" ht="21.4" customHeight="1">
      <c r="A175" s="78" t="str">
        <f t="shared" si="8"/>
        <v/>
      </c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3"/>
      <c r="M175" s="82"/>
      <c r="N175" s="83"/>
      <c r="O175" s="84"/>
      <c r="P175" s="82"/>
      <c r="Q175" s="85"/>
      <c r="R175" s="82"/>
      <c r="S175" s="82"/>
      <c r="T175" s="82"/>
      <c r="U175" s="82"/>
      <c r="V175" s="82"/>
      <c r="W175" s="82"/>
      <c r="X175" s="82"/>
      <c r="Y175" s="82"/>
      <c r="Z175" s="82"/>
      <c r="AA175" s="85"/>
      <c r="AB175" s="85"/>
      <c r="AC175" s="85"/>
      <c r="AD175" s="84"/>
      <c r="AE175" s="82"/>
      <c r="AF175" s="82"/>
      <c r="AG175" s="85"/>
      <c r="AH175" s="85" t="str">
        <f t="shared" si="9"/>
        <v/>
      </c>
      <c r="AI175" s="85"/>
      <c r="AJ175" s="85"/>
      <c r="AK175" s="85" t="str">
        <f t="shared" si="10"/>
        <v/>
      </c>
      <c r="AL175" s="83" t="str">
        <f t="shared" si="11"/>
        <v/>
      </c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5"/>
      <c r="AX175" s="84"/>
      <c r="AY175" s="82"/>
      <c r="AZ175" s="82"/>
      <c r="BA175" s="82"/>
      <c r="BB175" s="82"/>
      <c r="BC175" s="82"/>
      <c r="BD175" s="82"/>
      <c r="BE175" s="82"/>
      <c r="BF175" s="82"/>
      <c r="BG175" s="82"/>
      <c r="BH175" s="84"/>
      <c r="BI175" s="82"/>
      <c r="BJ175" s="78"/>
      <c r="BL175" s="76" t="s">
        <v>1208</v>
      </c>
      <c r="BM175" s="76" t="s">
        <v>1377</v>
      </c>
    </row>
    <row r="176" spans="1:65" ht="21.4" customHeight="1">
      <c r="A176" s="78" t="str">
        <f t="shared" si="8"/>
        <v/>
      </c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3"/>
      <c r="M176" s="82"/>
      <c r="N176" s="83"/>
      <c r="O176" s="84"/>
      <c r="P176" s="82"/>
      <c r="Q176" s="85"/>
      <c r="R176" s="82"/>
      <c r="S176" s="82"/>
      <c r="T176" s="82"/>
      <c r="U176" s="82"/>
      <c r="V176" s="82"/>
      <c r="W176" s="82"/>
      <c r="X176" s="82"/>
      <c r="Y176" s="82"/>
      <c r="Z176" s="82"/>
      <c r="AA176" s="85"/>
      <c r="AB176" s="85"/>
      <c r="AC176" s="85"/>
      <c r="AD176" s="84"/>
      <c r="AE176" s="82"/>
      <c r="AF176" s="82"/>
      <c r="AG176" s="85"/>
      <c r="AH176" s="85" t="str">
        <f t="shared" si="9"/>
        <v/>
      </c>
      <c r="AI176" s="85"/>
      <c r="AJ176" s="85"/>
      <c r="AK176" s="85" t="str">
        <f t="shared" si="10"/>
        <v/>
      </c>
      <c r="AL176" s="83" t="str">
        <f t="shared" si="11"/>
        <v/>
      </c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5"/>
      <c r="AX176" s="84"/>
      <c r="AY176" s="82"/>
      <c r="AZ176" s="82"/>
      <c r="BA176" s="82"/>
      <c r="BB176" s="82"/>
      <c r="BC176" s="82"/>
      <c r="BD176" s="82"/>
      <c r="BE176" s="82"/>
      <c r="BF176" s="82"/>
      <c r="BG176" s="82"/>
      <c r="BH176" s="84"/>
      <c r="BI176" s="82"/>
      <c r="BJ176" s="78"/>
      <c r="BL176" s="76" t="s">
        <v>1208</v>
      </c>
      <c r="BM176" s="76" t="s">
        <v>1378</v>
      </c>
    </row>
    <row r="177" spans="1:65" ht="21.4" customHeight="1">
      <c r="A177" s="78" t="str">
        <f t="shared" si="8"/>
        <v/>
      </c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3"/>
      <c r="M177" s="82"/>
      <c r="N177" s="83"/>
      <c r="O177" s="84"/>
      <c r="P177" s="82"/>
      <c r="Q177" s="85"/>
      <c r="R177" s="82"/>
      <c r="S177" s="82"/>
      <c r="T177" s="82"/>
      <c r="U177" s="82"/>
      <c r="V177" s="82"/>
      <c r="W177" s="82"/>
      <c r="X177" s="82"/>
      <c r="Y177" s="82"/>
      <c r="Z177" s="82"/>
      <c r="AA177" s="85"/>
      <c r="AB177" s="85"/>
      <c r="AC177" s="85"/>
      <c r="AD177" s="84"/>
      <c r="AE177" s="82"/>
      <c r="AF177" s="82"/>
      <c r="AG177" s="85"/>
      <c r="AH177" s="85" t="str">
        <f t="shared" si="9"/>
        <v/>
      </c>
      <c r="AI177" s="85"/>
      <c r="AJ177" s="85"/>
      <c r="AK177" s="85" t="str">
        <f t="shared" si="10"/>
        <v/>
      </c>
      <c r="AL177" s="83" t="str">
        <f t="shared" si="11"/>
        <v/>
      </c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5"/>
      <c r="AX177" s="84"/>
      <c r="AY177" s="82"/>
      <c r="AZ177" s="82"/>
      <c r="BA177" s="82"/>
      <c r="BB177" s="82"/>
      <c r="BC177" s="82"/>
      <c r="BD177" s="82"/>
      <c r="BE177" s="82"/>
      <c r="BF177" s="82"/>
      <c r="BG177" s="82"/>
      <c r="BH177" s="84"/>
      <c r="BI177" s="82"/>
      <c r="BJ177" s="78"/>
      <c r="BL177" s="76" t="s">
        <v>1208</v>
      </c>
      <c r="BM177" s="76" t="s">
        <v>1379</v>
      </c>
    </row>
    <row r="178" spans="1:65" ht="21.4" customHeight="1">
      <c r="A178" s="78" t="str">
        <f t="shared" si="8"/>
        <v/>
      </c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3"/>
      <c r="M178" s="82"/>
      <c r="N178" s="83"/>
      <c r="O178" s="84"/>
      <c r="P178" s="82"/>
      <c r="Q178" s="85"/>
      <c r="R178" s="82"/>
      <c r="S178" s="82"/>
      <c r="T178" s="82"/>
      <c r="U178" s="82"/>
      <c r="V178" s="82"/>
      <c r="W178" s="82"/>
      <c r="X178" s="82"/>
      <c r="Y178" s="82"/>
      <c r="Z178" s="82"/>
      <c r="AA178" s="85"/>
      <c r="AB178" s="85"/>
      <c r="AC178" s="85"/>
      <c r="AD178" s="84"/>
      <c r="AE178" s="82"/>
      <c r="AF178" s="82"/>
      <c r="AG178" s="85"/>
      <c r="AH178" s="85" t="str">
        <f t="shared" si="9"/>
        <v/>
      </c>
      <c r="AI178" s="85"/>
      <c r="AJ178" s="85"/>
      <c r="AK178" s="85" t="str">
        <f t="shared" si="10"/>
        <v/>
      </c>
      <c r="AL178" s="83" t="str">
        <f t="shared" si="11"/>
        <v/>
      </c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5"/>
      <c r="AX178" s="84"/>
      <c r="AY178" s="82"/>
      <c r="AZ178" s="82"/>
      <c r="BA178" s="82"/>
      <c r="BB178" s="82"/>
      <c r="BC178" s="82"/>
      <c r="BD178" s="82"/>
      <c r="BE178" s="82"/>
      <c r="BF178" s="82"/>
      <c r="BG178" s="82"/>
      <c r="BH178" s="84"/>
      <c r="BI178" s="82"/>
      <c r="BJ178" s="78"/>
      <c r="BL178" s="76" t="s">
        <v>1208</v>
      </c>
      <c r="BM178" s="76" t="s">
        <v>1380</v>
      </c>
    </row>
    <row r="179" spans="1:65" ht="21.4" customHeight="1">
      <c r="A179" s="78" t="str">
        <f t="shared" si="8"/>
        <v/>
      </c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3"/>
      <c r="M179" s="82"/>
      <c r="N179" s="83"/>
      <c r="O179" s="84"/>
      <c r="P179" s="82"/>
      <c r="Q179" s="85"/>
      <c r="R179" s="82"/>
      <c r="S179" s="82"/>
      <c r="T179" s="82"/>
      <c r="U179" s="82"/>
      <c r="V179" s="82"/>
      <c r="W179" s="82"/>
      <c r="X179" s="82"/>
      <c r="Y179" s="82"/>
      <c r="Z179" s="82"/>
      <c r="AA179" s="85"/>
      <c r="AB179" s="85"/>
      <c r="AC179" s="85"/>
      <c r="AD179" s="84"/>
      <c r="AE179" s="82"/>
      <c r="AF179" s="82"/>
      <c r="AG179" s="85"/>
      <c r="AH179" s="85" t="str">
        <f t="shared" si="9"/>
        <v/>
      </c>
      <c r="AI179" s="85"/>
      <c r="AJ179" s="85"/>
      <c r="AK179" s="85" t="str">
        <f t="shared" si="10"/>
        <v/>
      </c>
      <c r="AL179" s="83" t="str">
        <f t="shared" si="11"/>
        <v/>
      </c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5"/>
      <c r="AX179" s="84"/>
      <c r="AY179" s="82"/>
      <c r="AZ179" s="82"/>
      <c r="BA179" s="82"/>
      <c r="BB179" s="82"/>
      <c r="BC179" s="82"/>
      <c r="BD179" s="82"/>
      <c r="BE179" s="82"/>
      <c r="BF179" s="82"/>
      <c r="BG179" s="82"/>
      <c r="BH179" s="84"/>
      <c r="BI179" s="82"/>
      <c r="BJ179" s="78"/>
      <c r="BL179" s="76" t="s">
        <v>1208</v>
      </c>
      <c r="BM179" s="76" t="s">
        <v>1381</v>
      </c>
    </row>
    <row r="180" spans="1:65" ht="21.4" customHeight="1">
      <c r="A180" s="78" t="str">
        <f t="shared" si="8"/>
        <v/>
      </c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3"/>
      <c r="M180" s="82"/>
      <c r="N180" s="83"/>
      <c r="O180" s="84"/>
      <c r="P180" s="82"/>
      <c r="Q180" s="85"/>
      <c r="R180" s="82"/>
      <c r="S180" s="82"/>
      <c r="T180" s="82"/>
      <c r="U180" s="82"/>
      <c r="V180" s="82"/>
      <c r="W180" s="82"/>
      <c r="X180" s="82"/>
      <c r="Y180" s="82"/>
      <c r="Z180" s="82"/>
      <c r="AA180" s="85"/>
      <c r="AB180" s="85"/>
      <c r="AC180" s="85"/>
      <c r="AD180" s="84"/>
      <c r="AE180" s="82"/>
      <c r="AF180" s="82"/>
      <c r="AG180" s="85"/>
      <c r="AH180" s="85" t="str">
        <f t="shared" si="9"/>
        <v/>
      </c>
      <c r="AI180" s="85"/>
      <c r="AJ180" s="85"/>
      <c r="AK180" s="85" t="str">
        <f t="shared" si="10"/>
        <v/>
      </c>
      <c r="AL180" s="83" t="str">
        <f t="shared" si="11"/>
        <v/>
      </c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5"/>
      <c r="AX180" s="84"/>
      <c r="AY180" s="82"/>
      <c r="AZ180" s="82"/>
      <c r="BA180" s="82"/>
      <c r="BB180" s="82"/>
      <c r="BC180" s="82"/>
      <c r="BD180" s="82"/>
      <c r="BE180" s="82"/>
      <c r="BF180" s="82"/>
      <c r="BG180" s="82"/>
      <c r="BH180" s="84"/>
      <c r="BI180" s="82"/>
      <c r="BJ180" s="78"/>
      <c r="BL180" s="76" t="s">
        <v>1208</v>
      </c>
      <c r="BM180" s="76" t="s">
        <v>1382</v>
      </c>
    </row>
    <row r="181" spans="1:65" ht="21.4" customHeight="1">
      <c r="A181" s="78" t="str">
        <f t="shared" si="8"/>
        <v/>
      </c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3"/>
      <c r="M181" s="82"/>
      <c r="N181" s="83"/>
      <c r="O181" s="84"/>
      <c r="P181" s="82"/>
      <c r="Q181" s="85"/>
      <c r="R181" s="82"/>
      <c r="S181" s="82"/>
      <c r="T181" s="82"/>
      <c r="U181" s="82"/>
      <c r="V181" s="82"/>
      <c r="W181" s="82"/>
      <c r="X181" s="82"/>
      <c r="Y181" s="82"/>
      <c r="Z181" s="82"/>
      <c r="AA181" s="85"/>
      <c r="AB181" s="85"/>
      <c r="AC181" s="85"/>
      <c r="AD181" s="84"/>
      <c r="AE181" s="82"/>
      <c r="AF181" s="82"/>
      <c r="AG181" s="85"/>
      <c r="AH181" s="85" t="str">
        <f t="shared" si="9"/>
        <v/>
      </c>
      <c r="AI181" s="85"/>
      <c r="AJ181" s="85"/>
      <c r="AK181" s="85" t="str">
        <f t="shared" si="10"/>
        <v/>
      </c>
      <c r="AL181" s="83" t="str">
        <f t="shared" si="11"/>
        <v/>
      </c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5"/>
      <c r="AX181" s="84"/>
      <c r="AY181" s="82"/>
      <c r="AZ181" s="82"/>
      <c r="BA181" s="82"/>
      <c r="BB181" s="82"/>
      <c r="BC181" s="82"/>
      <c r="BD181" s="82"/>
      <c r="BE181" s="82"/>
      <c r="BF181" s="82"/>
      <c r="BG181" s="82"/>
      <c r="BH181" s="84"/>
      <c r="BI181" s="82"/>
      <c r="BJ181" s="78"/>
      <c r="BL181" s="76" t="s">
        <v>1208</v>
      </c>
      <c r="BM181" s="76" t="s">
        <v>1383</v>
      </c>
    </row>
    <row r="182" spans="1:65" ht="21.4" customHeight="1">
      <c r="A182" s="78" t="str">
        <f t="shared" si="8"/>
        <v/>
      </c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3"/>
      <c r="M182" s="82"/>
      <c r="N182" s="83"/>
      <c r="O182" s="84"/>
      <c r="P182" s="82"/>
      <c r="Q182" s="85"/>
      <c r="R182" s="82"/>
      <c r="S182" s="82"/>
      <c r="T182" s="82"/>
      <c r="U182" s="82"/>
      <c r="V182" s="82"/>
      <c r="W182" s="82"/>
      <c r="X182" s="82"/>
      <c r="Y182" s="82"/>
      <c r="Z182" s="82"/>
      <c r="AA182" s="85"/>
      <c r="AB182" s="85"/>
      <c r="AC182" s="85"/>
      <c r="AD182" s="84"/>
      <c r="AE182" s="82"/>
      <c r="AF182" s="82"/>
      <c r="AG182" s="85"/>
      <c r="AH182" s="85" t="str">
        <f t="shared" si="9"/>
        <v/>
      </c>
      <c r="AI182" s="85"/>
      <c r="AJ182" s="85"/>
      <c r="AK182" s="85" t="str">
        <f t="shared" si="10"/>
        <v/>
      </c>
      <c r="AL182" s="83" t="str">
        <f t="shared" si="11"/>
        <v/>
      </c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5"/>
      <c r="AX182" s="84"/>
      <c r="AY182" s="82"/>
      <c r="AZ182" s="82"/>
      <c r="BA182" s="82"/>
      <c r="BB182" s="82"/>
      <c r="BC182" s="82"/>
      <c r="BD182" s="82"/>
      <c r="BE182" s="82"/>
      <c r="BF182" s="82"/>
      <c r="BG182" s="82"/>
      <c r="BH182" s="84"/>
      <c r="BI182" s="82"/>
      <c r="BJ182" s="78"/>
      <c r="BL182" s="76" t="s">
        <v>1208</v>
      </c>
      <c r="BM182" s="76" t="s">
        <v>1384</v>
      </c>
    </row>
    <row r="183" spans="1:65" ht="21.4" customHeight="1">
      <c r="A183" s="78" t="str">
        <f t="shared" si="8"/>
        <v/>
      </c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3"/>
      <c r="M183" s="82"/>
      <c r="N183" s="83"/>
      <c r="O183" s="84"/>
      <c r="P183" s="82"/>
      <c r="Q183" s="85"/>
      <c r="R183" s="82"/>
      <c r="S183" s="82"/>
      <c r="T183" s="82"/>
      <c r="U183" s="82"/>
      <c r="V183" s="82"/>
      <c r="W183" s="82"/>
      <c r="X183" s="82"/>
      <c r="Y183" s="82"/>
      <c r="Z183" s="82"/>
      <c r="AA183" s="85"/>
      <c r="AB183" s="85"/>
      <c r="AC183" s="85"/>
      <c r="AD183" s="84"/>
      <c r="AE183" s="82"/>
      <c r="AF183" s="82"/>
      <c r="AG183" s="85"/>
      <c r="AH183" s="85" t="str">
        <f t="shared" si="9"/>
        <v/>
      </c>
      <c r="AI183" s="85"/>
      <c r="AJ183" s="85"/>
      <c r="AK183" s="85" t="str">
        <f t="shared" si="10"/>
        <v/>
      </c>
      <c r="AL183" s="83" t="str">
        <f t="shared" si="11"/>
        <v/>
      </c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5"/>
      <c r="AX183" s="84"/>
      <c r="AY183" s="82"/>
      <c r="AZ183" s="82"/>
      <c r="BA183" s="82"/>
      <c r="BB183" s="82"/>
      <c r="BC183" s="82"/>
      <c r="BD183" s="82"/>
      <c r="BE183" s="82"/>
      <c r="BF183" s="82"/>
      <c r="BG183" s="82"/>
      <c r="BH183" s="84"/>
      <c r="BI183" s="82"/>
      <c r="BJ183" s="78"/>
      <c r="BL183" s="76" t="s">
        <v>1208</v>
      </c>
      <c r="BM183" s="76" t="s">
        <v>1385</v>
      </c>
    </row>
    <row r="184" spans="1:65" ht="21.4" customHeight="1">
      <c r="A184" s="78" t="str">
        <f t="shared" si="8"/>
        <v/>
      </c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3"/>
      <c r="M184" s="82"/>
      <c r="N184" s="83"/>
      <c r="O184" s="84"/>
      <c r="P184" s="82"/>
      <c r="Q184" s="85"/>
      <c r="R184" s="82"/>
      <c r="S184" s="82"/>
      <c r="T184" s="82"/>
      <c r="U184" s="82"/>
      <c r="V184" s="82"/>
      <c r="W184" s="82"/>
      <c r="X184" s="82"/>
      <c r="Y184" s="82"/>
      <c r="Z184" s="82"/>
      <c r="AA184" s="85"/>
      <c r="AB184" s="85"/>
      <c r="AC184" s="85"/>
      <c r="AD184" s="84"/>
      <c r="AE184" s="82"/>
      <c r="AF184" s="82"/>
      <c r="AG184" s="85"/>
      <c r="AH184" s="85" t="str">
        <f t="shared" si="9"/>
        <v/>
      </c>
      <c r="AI184" s="85"/>
      <c r="AJ184" s="85"/>
      <c r="AK184" s="85" t="str">
        <f t="shared" si="10"/>
        <v/>
      </c>
      <c r="AL184" s="83" t="str">
        <f t="shared" si="11"/>
        <v/>
      </c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5"/>
      <c r="AX184" s="84"/>
      <c r="AY184" s="82"/>
      <c r="AZ184" s="82"/>
      <c r="BA184" s="82"/>
      <c r="BB184" s="82"/>
      <c r="BC184" s="82"/>
      <c r="BD184" s="82"/>
      <c r="BE184" s="82"/>
      <c r="BF184" s="82"/>
      <c r="BG184" s="82"/>
      <c r="BH184" s="84"/>
      <c r="BI184" s="82"/>
      <c r="BJ184" s="78"/>
      <c r="BL184" s="76" t="s">
        <v>1210</v>
      </c>
      <c r="BM184" s="76" t="s">
        <v>1386</v>
      </c>
    </row>
    <row r="185" spans="1:65" ht="21.4" customHeight="1">
      <c r="A185" s="78" t="str">
        <f t="shared" si="8"/>
        <v/>
      </c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3"/>
      <c r="M185" s="82"/>
      <c r="N185" s="83"/>
      <c r="O185" s="84"/>
      <c r="P185" s="82"/>
      <c r="Q185" s="85"/>
      <c r="R185" s="82"/>
      <c r="S185" s="82"/>
      <c r="T185" s="82"/>
      <c r="U185" s="82"/>
      <c r="V185" s="82"/>
      <c r="W185" s="82"/>
      <c r="X185" s="82"/>
      <c r="Y185" s="82"/>
      <c r="Z185" s="82"/>
      <c r="AA185" s="85"/>
      <c r="AB185" s="85"/>
      <c r="AC185" s="85"/>
      <c r="AD185" s="84"/>
      <c r="AE185" s="82"/>
      <c r="AF185" s="82"/>
      <c r="AG185" s="85"/>
      <c r="AH185" s="85" t="str">
        <f t="shared" si="9"/>
        <v/>
      </c>
      <c r="AI185" s="85"/>
      <c r="AJ185" s="85"/>
      <c r="AK185" s="85" t="str">
        <f t="shared" si="10"/>
        <v/>
      </c>
      <c r="AL185" s="83" t="str">
        <f t="shared" si="11"/>
        <v/>
      </c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5"/>
      <c r="AX185" s="84"/>
      <c r="AY185" s="82"/>
      <c r="AZ185" s="82"/>
      <c r="BA185" s="82"/>
      <c r="BB185" s="82"/>
      <c r="BC185" s="82"/>
      <c r="BD185" s="82"/>
      <c r="BE185" s="82"/>
      <c r="BF185" s="82"/>
      <c r="BG185" s="82"/>
      <c r="BH185" s="84"/>
      <c r="BI185" s="82"/>
      <c r="BJ185" s="78"/>
      <c r="BL185" s="76" t="s">
        <v>1210</v>
      </c>
      <c r="BM185" s="76" t="s">
        <v>1387</v>
      </c>
    </row>
    <row r="186" spans="1:65" ht="21.4" customHeight="1">
      <c r="A186" s="78" t="str">
        <f t="shared" si="8"/>
        <v/>
      </c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3"/>
      <c r="M186" s="82"/>
      <c r="N186" s="83"/>
      <c r="O186" s="84"/>
      <c r="P186" s="82"/>
      <c r="Q186" s="85"/>
      <c r="R186" s="82"/>
      <c r="S186" s="82"/>
      <c r="T186" s="82"/>
      <c r="U186" s="82"/>
      <c r="V186" s="82"/>
      <c r="W186" s="82"/>
      <c r="X186" s="82"/>
      <c r="Y186" s="82"/>
      <c r="Z186" s="82"/>
      <c r="AA186" s="85"/>
      <c r="AB186" s="85"/>
      <c r="AC186" s="85"/>
      <c r="AD186" s="84"/>
      <c r="AE186" s="82"/>
      <c r="AF186" s="82"/>
      <c r="AG186" s="85"/>
      <c r="AH186" s="85" t="str">
        <f t="shared" si="9"/>
        <v/>
      </c>
      <c r="AI186" s="85"/>
      <c r="AJ186" s="85"/>
      <c r="AK186" s="85" t="str">
        <f t="shared" si="10"/>
        <v/>
      </c>
      <c r="AL186" s="83" t="str">
        <f t="shared" si="11"/>
        <v/>
      </c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5"/>
      <c r="AX186" s="84"/>
      <c r="AY186" s="82"/>
      <c r="AZ186" s="82"/>
      <c r="BA186" s="82"/>
      <c r="BB186" s="82"/>
      <c r="BC186" s="82"/>
      <c r="BD186" s="82"/>
      <c r="BE186" s="82"/>
      <c r="BF186" s="82"/>
      <c r="BG186" s="82"/>
      <c r="BH186" s="84"/>
      <c r="BI186" s="82"/>
      <c r="BJ186" s="78"/>
      <c r="BL186" s="76" t="s">
        <v>1210</v>
      </c>
      <c r="BM186" s="76" t="s">
        <v>1388</v>
      </c>
    </row>
    <row r="187" spans="1:65" ht="21.4" customHeight="1">
      <c r="A187" s="78" t="str">
        <f t="shared" si="8"/>
        <v/>
      </c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3"/>
      <c r="M187" s="82"/>
      <c r="N187" s="83"/>
      <c r="O187" s="84"/>
      <c r="P187" s="82"/>
      <c r="Q187" s="85"/>
      <c r="R187" s="82"/>
      <c r="S187" s="82"/>
      <c r="T187" s="82"/>
      <c r="U187" s="82"/>
      <c r="V187" s="82"/>
      <c r="W187" s="82"/>
      <c r="X187" s="82"/>
      <c r="Y187" s="82"/>
      <c r="Z187" s="82"/>
      <c r="AA187" s="85"/>
      <c r="AB187" s="85"/>
      <c r="AC187" s="85"/>
      <c r="AD187" s="84"/>
      <c r="AE187" s="82"/>
      <c r="AF187" s="82"/>
      <c r="AG187" s="85"/>
      <c r="AH187" s="85" t="str">
        <f t="shared" si="9"/>
        <v/>
      </c>
      <c r="AI187" s="85"/>
      <c r="AJ187" s="85"/>
      <c r="AK187" s="85" t="str">
        <f t="shared" si="10"/>
        <v/>
      </c>
      <c r="AL187" s="83" t="str">
        <f t="shared" si="11"/>
        <v/>
      </c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5"/>
      <c r="AX187" s="84"/>
      <c r="AY187" s="82"/>
      <c r="AZ187" s="82"/>
      <c r="BA187" s="82"/>
      <c r="BB187" s="82"/>
      <c r="BC187" s="82"/>
      <c r="BD187" s="82"/>
      <c r="BE187" s="82"/>
      <c r="BF187" s="82"/>
      <c r="BG187" s="82"/>
      <c r="BH187" s="84"/>
      <c r="BI187" s="82"/>
      <c r="BJ187" s="78"/>
      <c r="BL187" s="76" t="s">
        <v>1210</v>
      </c>
      <c r="BM187" s="76" t="s">
        <v>1389</v>
      </c>
    </row>
    <row r="188" spans="1:65" ht="21.4" customHeight="1">
      <c r="A188" s="78" t="str">
        <f t="shared" si="8"/>
        <v/>
      </c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3"/>
      <c r="M188" s="82"/>
      <c r="N188" s="83"/>
      <c r="O188" s="84"/>
      <c r="P188" s="82"/>
      <c r="Q188" s="85"/>
      <c r="R188" s="82"/>
      <c r="S188" s="82"/>
      <c r="T188" s="82"/>
      <c r="U188" s="82"/>
      <c r="V188" s="82"/>
      <c r="W188" s="82"/>
      <c r="X188" s="82"/>
      <c r="Y188" s="82"/>
      <c r="Z188" s="82"/>
      <c r="AA188" s="85"/>
      <c r="AB188" s="85"/>
      <c r="AC188" s="85"/>
      <c r="AD188" s="84"/>
      <c r="AE188" s="82"/>
      <c r="AF188" s="82"/>
      <c r="AG188" s="85"/>
      <c r="AH188" s="85" t="str">
        <f t="shared" si="9"/>
        <v/>
      </c>
      <c r="AI188" s="85"/>
      <c r="AJ188" s="85"/>
      <c r="AK188" s="85" t="str">
        <f t="shared" si="10"/>
        <v/>
      </c>
      <c r="AL188" s="83" t="str">
        <f t="shared" si="11"/>
        <v/>
      </c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5"/>
      <c r="AX188" s="84"/>
      <c r="AY188" s="82"/>
      <c r="AZ188" s="82"/>
      <c r="BA188" s="82"/>
      <c r="BB188" s="82"/>
      <c r="BC188" s="82"/>
      <c r="BD188" s="82"/>
      <c r="BE188" s="82"/>
      <c r="BF188" s="82"/>
      <c r="BG188" s="82"/>
      <c r="BH188" s="84"/>
      <c r="BI188" s="82"/>
      <c r="BJ188" s="78"/>
      <c r="BL188" s="76" t="s">
        <v>1210</v>
      </c>
      <c r="BM188" s="76" t="s">
        <v>1390</v>
      </c>
    </row>
    <row r="189" spans="1:65" ht="21.4" customHeight="1">
      <c r="A189" s="78" t="str">
        <f t="shared" si="8"/>
        <v/>
      </c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3"/>
      <c r="M189" s="82"/>
      <c r="N189" s="83"/>
      <c r="O189" s="84"/>
      <c r="P189" s="82"/>
      <c r="Q189" s="85"/>
      <c r="R189" s="82"/>
      <c r="S189" s="82"/>
      <c r="T189" s="82"/>
      <c r="U189" s="82"/>
      <c r="V189" s="82"/>
      <c r="W189" s="82"/>
      <c r="X189" s="82"/>
      <c r="Y189" s="82"/>
      <c r="Z189" s="82"/>
      <c r="AA189" s="85"/>
      <c r="AB189" s="85"/>
      <c r="AC189" s="85"/>
      <c r="AD189" s="84"/>
      <c r="AE189" s="82"/>
      <c r="AF189" s="82"/>
      <c r="AG189" s="85"/>
      <c r="AH189" s="85" t="str">
        <f t="shared" si="9"/>
        <v/>
      </c>
      <c r="AI189" s="85"/>
      <c r="AJ189" s="85"/>
      <c r="AK189" s="85" t="str">
        <f t="shared" si="10"/>
        <v/>
      </c>
      <c r="AL189" s="83" t="str">
        <f t="shared" si="11"/>
        <v/>
      </c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5"/>
      <c r="AX189" s="84"/>
      <c r="AY189" s="82"/>
      <c r="AZ189" s="82"/>
      <c r="BA189" s="82"/>
      <c r="BB189" s="82"/>
      <c r="BC189" s="82"/>
      <c r="BD189" s="82"/>
      <c r="BE189" s="82"/>
      <c r="BF189" s="82"/>
      <c r="BG189" s="82"/>
      <c r="BH189" s="84"/>
      <c r="BI189" s="82"/>
      <c r="BJ189" s="78"/>
      <c r="BL189" s="76" t="s">
        <v>1210</v>
      </c>
      <c r="BM189" s="76" t="s">
        <v>1391</v>
      </c>
    </row>
    <row r="190" spans="1:65" ht="21.4" customHeight="1">
      <c r="A190" s="78" t="str">
        <f t="shared" si="8"/>
        <v/>
      </c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3"/>
      <c r="M190" s="82"/>
      <c r="N190" s="83"/>
      <c r="O190" s="84"/>
      <c r="P190" s="82"/>
      <c r="Q190" s="85"/>
      <c r="R190" s="82"/>
      <c r="S190" s="82"/>
      <c r="T190" s="82"/>
      <c r="U190" s="82"/>
      <c r="V190" s="82"/>
      <c r="W190" s="82"/>
      <c r="X190" s="82"/>
      <c r="Y190" s="82"/>
      <c r="Z190" s="82"/>
      <c r="AA190" s="85"/>
      <c r="AB190" s="85"/>
      <c r="AC190" s="85"/>
      <c r="AD190" s="84"/>
      <c r="AE190" s="82"/>
      <c r="AF190" s="82"/>
      <c r="AG190" s="85"/>
      <c r="AH190" s="85" t="str">
        <f t="shared" si="9"/>
        <v/>
      </c>
      <c r="AI190" s="85"/>
      <c r="AJ190" s="85"/>
      <c r="AK190" s="85" t="str">
        <f t="shared" si="10"/>
        <v/>
      </c>
      <c r="AL190" s="83" t="str">
        <f t="shared" si="11"/>
        <v/>
      </c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5"/>
      <c r="AX190" s="84"/>
      <c r="AY190" s="82"/>
      <c r="AZ190" s="82"/>
      <c r="BA190" s="82"/>
      <c r="BB190" s="82"/>
      <c r="BC190" s="82"/>
      <c r="BD190" s="82"/>
      <c r="BE190" s="82"/>
      <c r="BF190" s="82"/>
      <c r="BG190" s="82"/>
      <c r="BH190" s="84"/>
      <c r="BI190" s="82"/>
      <c r="BJ190" s="78"/>
      <c r="BL190" s="76" t="s">
        <v>1210</v>
      </c>
      <c r="BM190" s="76" t="s">
        <v>1392</v>
      </c>
    </row>
    <row r="191" spans="1:65" ht="21.4" customHeight="1">
      <c r="A191" s="78" t="str">
        <f t="shared" si="8"/>
        <v/>
      </c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3"/>
      <c r="M191" s="82"/>
      <c r="N191" s="83"/>
      <c r="O191" s="84"/>
      <c r="P191" s="82"/>
      <c r="Q191" s="85"/>
      <c r="R191" s="82"/>
      <c r="S191" s="82"/>
      <c r="T191" s="82"/>
      <c r="U191" s="82"/>
      <c r="V191" s="82"/>
      <c r="W191" s="82"/>
      <c r="X191" s="82"/>
      <c r="Y191" s="82"/>
      <c r="Z191" s="82"/>
      <c r="AA191" s="85"/>
      <c r="AB191" s="85"/>
      <c r="AC191" s="85"/>
      <c r="AD191" s="84"/>
      <c r="AE191" s="82"/>
      <c r="AF191" s="82"/>
      <c r="AG191" s="85"/>
      <c r="AH191" s="85" t="str">
        <f t="shared" si="9"/>
        <v/>
      </c>
      <c r="AI191" s="85"/>
      <c r="AJ191" s="85"/>
      <c r="AK191" s="85" t="str">
        <f t="shared" si="10"/>
        <v/>
      </c>
      <c r="AL191" s="83" t="str">
        <f t="shared" si="11"/>
        <v/>
      </c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5"/>
      <c r="AX191" s="84"/>
      <c r="AY191" s="82"/>
      <c r="AZ191" s="82"/>
      <c r="BA191" s="82"/>
      <c r="BB191" s="82"/>
      <c r="BC191" s="82"/>
      <c r="BD191" s="82"/>
      <c r="BE191" s="82"/>
      <c r="BF191" s="82"/>
      <c r="BG191" s="82"/>
      <c r="BH191" s="84"/>
      <c r="BI191" s="82"/>
      <c r="BJ191" s="78"/>
      <c r="BL191" s="76" t="s">
        <v>1210</v>
      </c>
      <c r="BM191" s="76" t="s">
        <v>1393</v>
      </c>
    </row>
    <row r="192" spans="1:65" ht="21.4" customHeight="1">
      <c r="A192" s="78" t="str">
        <f t="shared" si="8"/>
        <v/>
      </c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3"/>
      <c r="M192" s="82"/>
      <c r="N192" s="83"/>
      <c r="O192" s="84"/>
      <c r="P192" s="82"/>
      <c r="Q192" s="85"/>
      <c r="R192" s="82"/>
      <c r="S192" s="82"/>
      <c r="T192" s="82"/>
      <c r="U192" s="82"/>
      <c r="V192" s="82"/>
      <c r="W192" s="82"/>
      <c r="X192" s="82"/>
      <c r="Y192" s="82"/>
      <c r="Z192" s="82"/>
      <c r="AA192" s="85"/>
      <c r="AB192" s="85"/>
      <c r="AC192" s="85"/>
      <c r="AD192" s="84"/>
      <c r="AE192" s="82"/>
      <c r="AF192" s="82"/>
      <c r="AG192" s="85"/>
      <c r="AH192" s="85" t="str">
        <f t="shared" si="9"/>
        <v/>
      </c>
      <c r="AI192" s="85"/>
      <c r="AJ192" s="85"/>
      <c r="AK192" s="85" t="str">
        <f t="shared" si="10"/>
        <v/>
      </c>
      <c r="AL192" s="83" t="str">
        <f t="shared" si="11"/>
        <v/>
      </c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5"/>
      <c r="AX192" s="84"/>
      <c r="AY192" s="82"/>
      <c r="AZ192" s="82"/>
      <c r="BA192" s="82"/>
      <c r="BB192" s="82"/>
      <c r="BC192" s="82"/>
      <c r="BD192" s="82"/>
      <c r="BE192" s="82"/>
      <c r="BF192" s="82"/>
      <c r="BG192" s="82"/>
      <c r="BH192" s="84"/>
      <c r="BI192" s="82"/>
      <c r="BJ192" s="78"/>
      <c r="BL192" s="76" t="s">
        <v>1210</v>
      </c>
      <c r="BM192" s="76" t="s">
        <v>1394</v>
      </c>
    </row>
    <row r="193" spans="1:65" ht="21.4" customHeight="1">
      <c r="A193" s="78" t="str">
        <f t="shared" si="8"/>
        <v/>
      </c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3"/>
      <c r="M193" s="82"/>
      <c r="N193" s="83"/>
      <c r="O193" s="84"/>
      <c r="P193" s="82"/>
      <c r="Q193" s="85"/>
      <c r="R193" s="82"/>
      <c r="S193" s="82"/>
      <c r="T193" s="82"/>
      <c r="U193" s="82"/>
      <c r="V193" s="82"/>
      <c r="W193" s="82"/>
      <c r="X193" s="82"/>
      <c r="Y193" s="82"/>
      <c r="Z193" s="82"/>
      <c r="AA193" s="85"/>
      <c r="AB193" s="85"/>
      <c r="AC193" s="85"/>
      <c r="AD193" s="84"/>
      <c r="AE193" s="82"/>
      <c r="AF193" s="82"/>
      <c r="AG193" s="85"/>
      <c r="AH193" s="85" t="str">
        <f t="shared" si="9"/>
        <v/>
      </c>
      <c r="AI193" s="85"/>
      <c r="AJ193" s="85"/>
      <c r="AK193" s="85" t="str">
        <f t="shared" si="10"/>
        <v/>
      </c>
      <c r="AL193" s="83" t="str">
        <f t="shared" si="11"/>
        <v/>
      </c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5"/>
      <c r="AX193" s="84"/>
      <c r="AY193" s="82"/>
      <c r="AZ193" s="82"/>
      <c r="BA193" s="82"/>
      <c r="BB193" s="82"/>
      <c r="BC193" s="82"/>
      <c r="BD193" s="82"/>
      <c r="BE193" s="82"/>
      <c r="BF193" s="82"/>
      <c r="BG193" s="82"/>
      <c r="BH193" s="84"/>
      <c r="BI193" s="82"/>
      <c r="BJ193" s="78"/>
      <c r="BL193" s="76" t="s">
        <v>1210</v>
      </c>
      <c r="BM193" s="76" t="s">
        <v>1395</v>
      </c>
    </row>
    <row r="194" spans="1:65" ht="21.4" customHeight="1">
      <c r="A194" s="78" t="str">
        <f t="shared" si="8"/>
        <v/>
      </c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3"/>
      <c r="M194" s="82"/>
      <c r="N194" s="83"/>
      <c r="O194" s="84"/>
      <c r="P194" s="82"/>
      <c r="Q194" s="85"/>
      <c r="R194" s="82"/>
      <c r="S194" s="82"/>
      <c r="T194" s="82"/>
      <c r="U194" s="82"/>
      <c r="V194" s="82"/>
      <c r="W194" s="82"/>
      <c r="X194" s="82"/>
      <c r="Y194" s="82"/>
      <c r="Z194" s="82"/>
      <c r="AA194" s="85"/>
      <c r="AB194" s="85"/>
      <c r="AC194" s="85"/>
      <c r="AD194" s="84"/>
      <c r="AE194" s="82"/>
      <c r="AF194" s="82"/>
      <c r="AG194" s="85"/>
      <c r="AH194" s="85" t="str">
        <f t="shared" si="9"/>
        <v/>
      </c>
      <c r="AI194" s="85"/>
      <c r="AJ194" s="85"/>
      <c r="AK194" s="85" t="str">
        <f t="shared" si="10"/>
        <v/>
      </c>
      <c r="AL194" s="83" t="str">
        <f t="shared" si="11"/>
        <v/>
      </c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5"/>
      <c r="AX194" s="84"/>
      <c r="AY194" s="82"/>
      <c r="AZ194" s="82"/>
      <c r="BA194" s="82"/>
      <c r="BB194" s="82"/>
      <c r="BC194" s="82"/>
      <c r="BD194" s="82"/>
      <c r="BE194" s="82"/>
      <c r="BF194" s="82"/>
      <c r="BG194" s="82"/>
      <c r="BH194" s="84"/>
      <c r="BI194" s="82"/>
      <c r="BJ194" s="78"/>
      <c r="BL194" s="76" t="s">
        <v>1210</v>
      </c>
      <c r="BM194" s="76" t="s">
        <v>1396</v>
      </c>
    </row>
    <row r="195" spans="1:65" ht="21.4" customHeight="1">
      <c r="A195" s="78" t="str">
        <f t="shared" si="8"/>
        <v/>
      </c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3"/>
      <c r="M195" s="82"/>
      <c r="N195" s="83"/>
      <c r="O195" s="84"/>
      <c r="P195" s="82"/>
      <c r="Q195" s="85"/>
      <c r="R195" s="82"/>
      <c r="S195" s="82"/>
      <c r="T195" s="82"/>
      <c r="U195" s="82"/>
      <c r="V195" s="82"/>
      <c r="W195" s="82"/>
      <c r="X195" s="82"/>
      <c r="Y195" s="82"/>
      <c r="Z195" s="82"/>
      <c r="AA195" s="85"/>
      <c r="AB195" s="85"/>
      <c r="AC195" s="85"/>
      <c r="AD195" s="84"/>
      <c r="AE195" s="82"/>
      <c r="AF195" s="82"/>
      <c r="AG195" s="85"/>
      <c r="AH195" s="85" t="str">
        <f t="shared" si="9"/>
        <v/>
      </c>
      <c r="AI195" s="85"/>
      <c r="AJ195" s="85"/>
      <c r="AK195" s="85" t="str">
        <f t="shared" si="10"/>
        <v/>
      </c>
      <c r="AL195" s="83" t="str">
        <f t="shared" si="11"/>
        <v/>
      </c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5"/>
      <c r="AX195" s="84"/>
      <c r="AY195" s="82"/>
      <c r="AZ195" s="82"/>
      <c r="BA195" s="82"/>
      <c r="BB195" s="82"/>
      <c r="BC195" s="82"/>
      <c r="BD195" s="82"/>
      <c r="BE195" s="82"/>
      <c r="BF195" s="82"/>
      <c r="BG195" s="82"/>
      <c r="BH195" s="84"/>
      <c r="BI195" s="82"/>
      <c r="BJ195" s="78"/>
      <c r="BL195" s="76" t="s">
        <v>1212</v>
      </c>
      <c r="BM195" s="76" t="s">
        <v>1397</v>
      </c>
    </row>
    <row r="196" spans="1:65" ht="21.4" customHeight="1">
      <c r="A196" s="78" t="str">
        <f t="shared" si="8"/>
        <v/>
      </c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3"/>
      <c r="M196" s="82"/>
      <c r="N196" s="83"/>
      <c r="O196" s="84"/>
      <c r="P196" s="82"/>
      <c r="Q196" s="85"/>
      <c r="R196" s="82"/>
      <c r="S196" s="82"/>
      <c r="T196" s="82"/>
      <c r="U196" s="82"/>
      <c r="V196" s="82"/>
      <c r="W196" s="82"/>
      <c r="X196" s="82"/>
      <c r="Y196" s="82"/>
      <c r="Z196" s="82"/>
      <c r="AA196" s="85"/>
      <c r="AB196" s="85"/>
      <c r="AC196" s="85"/>
      <c r="AD196" s="84"/>
      <c r="AE196" s="82"/>
      <c r="AF196" s="82"/>
      <c r="AG196" s="85"/>
      <c r="AH196" s="85" t="str">
        <f t="shared" si="9"/>
        <v/>
      </c>
      <c r="AI196" s="85"/>
      <c r="AJ196" s="85"/>
      <c r="AK196" s="85" t="str">
        <f t="shared" si="10"/>
        <v/>
      </c>
      <c r="AL196" s="83" t="str">
        <f t="shared" si="11"/>
        <v/>
      </c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5"/>
      <c r="AX196" s="84"/>
      <c r="AY196" s="82"/>
      <c r="AZ196" s="82"/>
      <c r="BA196" s="82"/>
      <c r="BB196" s="82"/>
      <c r="BC196" s="82"/>
      <c r="BD196" s="82"/>
      <c r="BE196" s="82"/>
      <c r="BF196" s="82"/>
      <c r="BG196" s="82"/>
      <c r="BH196" s="84"/>
      <c r="BI196" s="82"/>
      <c r="BJ196" s="78"/>
      <c r="BL196" s="76" t="s">
        <v>1212</v>
      </c>
      <c r="BM196" s="76" t="s">
        <v>1398</v>
      </c>
    </row>
    <row r="197" spans="1:65" ht="21.4" customHeight="1">
      <c r="A197" s="78" t="str">
        <f t="shared" si="8"/>
        <v/>
      </c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3"/>
      <c r="M197" s="82"/>
      <c r="N197" s="83"/>
      <c r="O197" s="84"/>
      <c r="P197" s="82"/>
      <c r="Q197" s="85"/>
      <c r="R197" s="82"/>
      <c r="S197" s="82"/>
      <c r="T197" s="82"/>
      <c r="U197" s="82"/>
      <c r="V197" s="82"/>
      <c r="W197" s="82"/>
      <c r="X197" s="82"/>
      <c r="Y197" s="82"/>
      <c r="Z197" s="82"/>
      <c r="AA197" s="85"/>
      <c r="AB197" s="85"/>
      <c r="AC197" s="85"/>
      <c r="AD197" s="84"/>
      <c r="AE197" s="82"/>
      <c r="AF197" s="82"/>
      <c r="AG197" s="85"/>
      <c r="AH197" s="85" t="str">
        <f t="shared" si="9"/>
        <v/>
      </c>
      <c r="AI197" s="85"/>
      <c r="AJ197" s="85"/>
      <c r="AK197" s="85" t="str">
        <f t="shared" si="10"/>
        <v/>
      </c>
      <c r="AL197" s="83" t="str">
        <f t="shared" si="11"/>
        <v/>
      </c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5"/>
      <c r="AX197" s="84"/>
      <c r="AY197" s="82"/>
      <c r="AZ197" s="82"/>
      <c r="BA197" s="82"/>
      <c r="BB197" s="82"/>
      <c r="BC197" s="82"/>
      <c r="BD197" s="82"/>
      <c r="BE197" s="82"/>
      <c r="BF197" s="82"/>
      <c r="BG197" s="82"/>
      <c r="BH197" s="84"/>
      <c r="BI197" s="82"/>
      <c r="BJ197" s="78"/>
      <c r="BL197" s="76" t="s">
        <v>1212</v>
      </c>
      <c r="BM197" s="76" t="s">
        <v>1399</v>
      </c>
    </row>
    <row r="198" spans="1:65" ht="21.4" customHeight="1">
      <c r="A198" s="78" t="str">
        <f t="shared" ref="A198:A205" si="12">IF(D198="","","ACT-"&amp;TEXT(ROW()-5,"0000"))</f>
        <v/>
      </c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3"/>
      <c r="M198" s="82"/>
      <c r="N198" s="83"/>
      <c r="O198" s="84"/>
      <c r="P198" s="82"/>
      <c r="Q198" s="85"/>
      <c r="R198" s="82"/>
      <c r="S198" s="82"/>
      <c r="T198" s="82"/>
      <c r="U198" s="82"/>
      <c r="V198" s="82"/>
      <c r="W198" s="82"/>
      <c r="X198" s="82"/>
      <c r="Y198" s="82"/>
      <c r="Z198" s="82"/>
      <c r="AA198" s="85"/>
      <c r="AB198" s="85"/>
      <c r="AC198" s="85"/>
      <c r="AD198" s="84"/>
      <c r="AE198" s="82"/>
      <c r="AF198" s="82"/>
      <c r="AG198" s="85"/>
      <c r="AH198" s="85" t="str">
        <f t="shared" ref="AH198:AH205" si="13">IF(AC198="","",AC198-IF(AG198="",0,AG198))</f>
        <v/>
      </c>
      <c r="AI198" s="85"/>
      <c r="AJ198" s="85"/>
      <c r="AK198" s="85" t="str">
        <f t="shared" ref="AK198:AK205" si="14">IF(AND(AI198="",AJ198=""),"",IF(AI198="",0,AI198)-IF(AJ198="",0,AJ198))</f>
        <v/>
      </c>
      <c r="AL198" s="83" t="str">
        <f t="shared" ref="AL198:AL205" si="15">IFERROR(AK198/AC198,"")</f>
        <v/>
      </c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5"/>
      <c r="AX198" s="84"/>
      <c r="AY198" s="82"/>
      <c r="AZ198" s="82"/>
      <c r="BA198" s="82"/>
      <c r="BB198" s="82"/>
      <c r="BC198" s="82"/>
      <c r="BD198" s="82"/>
      <c r="BE198" s="82"/>
      <c r="BF198" s="82"/>
      <c r="BG198" s="82"/>
      <c r="BH198" s="84"/>
      <c r="BI198" s="82"/>
      <c r="BJ198" s="78"/>
      <c r="BL198" s="76" t="s">
        <v>1212</v>
      </c>
      <c r="BM198" s="76" t="s">
        <v>1400</v>
      </c>
    </row>
    <row r="199" spans="1:65" ht="21.4" customHeight="1">
      <c r="A199" s="78" t="str">
        <f t="shared" si="12"/>
        <v/>
      </c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3"/>
      <c r="M199" s="82"/>
      <c r="N199" s="83"/>
      <c r="O199" s="84"/>
      <c r="P199" s="82"/>
      <c r="Q199" s="85"/>
      <c r="R199" s="82"/>
      <c r="S199" s="82"/>
      <c r="T199" s="82"/>
      <c r="U199" s="82"/>
      <c r="V199" s="82"/>
      <c r="W199" s="82"/>
      <c r="X199" s="82"/>
      <c r="Y199" s="82"/>
      <c r="Z199" s="82"/>
      <c r="AA199" s="85"/>
      <c r="AB199" s="85"/>
      <c r="AC199" s="85"/>
      <c r="AD199" s="84"/>
      <c r="AE199" s="82"/>
      <c r="AF199" s="82"/>
      <c r="AG199" s="85"/>
      <c r="AH199" s="85" t="str">
        <f t="shared" si="13"/>
        <v/>
      </c>
      <c r="AI199" s="85"/>
      <c r="AJ199" s="85"/>
      <c r="AK199" s="85" t="str">
        <f t="shared" si="14"/>
        <v/>
      </c>
      <c r="AL199" s="83" t="str">
        <f t="shared" si="15"/>
        <v/>
      </c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5"/>
      <c r="AX199" s="84"/>
      <c r="AY199" s="82"/>
      <c r="AZ199" s="82"/>
      <c r="BA199" s="82"/>
      <c r="BB199" s="82"/>
      <c r="BC199" s="82"/>
      <c r="BD199" s="82"/>
      <c r="BE199" s="82"/>
      <c r="BF199" s="82"/>
      <c r="BG199" s="82"/>
      <c r="BH199" s="84"/>
      <c r="BI199" s="82"/>
      <c r="BJ199" s="78"/>
      <c r="BL199" s="76" t="s">
        <v>1212</v>
      </c>
      <c r="BM199" s="76" t="s">
        <v>1401</v>
      </c>
    </row>
    <row r="200" spans="1:65" ht="21.4" customHeight="1">
      <c r="A200" s="78" t="str">
        <f t="shared" si="12"/>
        <v/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3"/>
      <c r="M200" s="82"/>
      <c r="N200" s="83"/>
      <c r="O200" s="84"/>
      <c r="P200" s="82"/>
      <c r="Q200" s="85"/>
      <c r="R200" s="82"/>
      <c r="S200" s="82"/>
      <c r="T200" s="82"/>
      <c r="U200" s="82"/>
      <c r="V200" s="82"/>
      <c r="W200" s="82"/>
      <c r="X200" s="82"/>
      <c r="Y200" s="82"/>
      <c r="Z200" s="82"/>
      <c r="AA200" s="85"/>
      <c r="AB200" s="85"/>
      <c r="AC200" s="85"/>
      <c r="AD200" s="84"/>
      <c r="AE200" s="82"/>
      <c r="AF200" s="82"/>
      <c r="AG200" s="85"/>
      <c r="AH200" s="85" t="str">
        <f t="shared" si="13"/>
        <v/>
      </c>
      <c r="AI200" s="85"/>
      <c r="AJ200" s="85"/>
      <c r="AK200" s="85" t="str">
        <f t="shared" si="14"/>
        <v/>
      </c>
      <c r="AL200" s="83" t="str">
        <f t="shared" si="15"/>
        <v/>
      </c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5"/>
      <c r="AX200" s="84"/>
      <c r="AY200" s="82"/>
      <c r="AZ200" s="82"/>
      <c r="BA200" s="82"/>
      <c r="BB200" s="82"/>
      <c r="BC200" s="82"/>
      <c r="BD200" s="82"/>
      <c r="BE200" s="82"/>
      <c r="BF200" s="82"/>
      <c r="BG200" s="82"/>
      <c r="BH200" s="84"/>
      <c r="BI200" s="82"/>
      <c r="BJ200" s="78"/>
      <c r="BL200" s="76" t="s">
        <v>1212</v>
      </c>
      <c r="BM200" s="76" t="s">
        <v>1402</v>
      </c>
    </row>
    <row r="201" spans="1:65" ht="21.4" customHeight="1">
      <c r="A201" s="78" t="str">
        <f t="shared" si="12"/>
        <v/>
      </c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3"/>
      <c r="M201" s="82"/>
      <c r="N201" s="83"/>
      <c r="O201" s="84"/>
      <c r="P201" s="82"/>
      <c r="Q201" s="85"/>
      <c r="R201" s="82"/>
      <c r="S201" s="82"/>
      <c r="T201" s="82"/>
      <c r="U201" s="82"/>
      <c r="V201" s="82"/>
      <c r="W201" s="82"/>
      <c r="X201" s="82"/>
      <c r="Y201" s="82"/>
      <c r="Z201" s="82"/>
      <c r="AA201" s="85"/>
      <c r="AB201" s="85"/>
      <c r="AC201" s="85"/>
      <c r="AD201" s="84"/>
      <c r="AE201" s="82"/>
      <c r="AF201" s="82"/>
      <c r="AG201" s="85"/>
      <c r="AH201" s="85" t="str">
        <f t="shared" si="13"/>
        <v/>
      </c>
      <c r="AI201" s="85"/>
      <c r="AJ201" s="85"/>
      <c r="AK201" s="85" t="str">
        <f t="shared" si="14"/>
        <v/>
      </c>
      <c r="AL201" s="83" t="str">
        <f t="shared" si="15"/>
        <v/>
      </c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5"/>
      <c r="AX201" s="84"/>
      <c r="AY201" s="82"/>
      <c r="AZ201" s="82"/>
      <c r="BA201" s="82"/>
      <c r="BB201" s="82"/>
      <c r="BC201" s="82"/>
      <c r="BD201" s="82"/>
      <c r="BE201" s="82"/>
      <c r="BF201" s="82"/>
      <c r="BG201" s="82"/>
      <c r="BH201" s="84"/>
      <c r="BI201" s="82"/>
      <c r="BJ201" s="78"/>
      <c r="BL201" s="76" t="s">
        <v>1212</v>
      </c>
      <c r="BM201" s="76" t="s">
        <v>1403</v>
      </c>
    </row>
    <row r="202" spans="1:65" ht="21.4" customHeight="1">
      <c r="A202" s="78" t="str">
        <f t="shared" si="12"/>
        <v/>
      </c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3"/>
      <c r="M202" s="82"/>
      <c r="N202" s="83"/>
      <c r="O202" s="84"/>
      <c r="P202" s="82"/>
      <c r="Q202" s="85"/>
      <c r="R202" s="82"/>
      <c r="S202" s="82"/>
      <c r="T202" s="82"/>
      <c r="U202" s="82"/>
      <c r="V202" s="82"/>
      <c r="W202" s="82"/>
      <c r="X202" s="82"/>
      <c r="Y202" s="82"/>
      <c r="Z202" s="82"/>
      <c r="AA202" s="85"/>
      <c r="AB202" s="85"/>
      <c r="AC202" s="85"/>
      <c r="AD202" s="84"/>
      <c r="AE202" s="82"/>
      <c r="AF202" s="82"/>
      <c r="AG202" s="85"/>
      <c r="AH202" s="85" t="str">
        <f t="shared" si="13"/>
        <v/>
      </c>
      <c r="AI202" s="85"/>
      <c r="AJ202" s="85"/>
      <c r="AK202" s="85" t="str">
        <f t="shared" si="14"/>
        <v/>
      </c>
      <c r="AL202" s="83" t="str">
        <f t="shared" si="15"/>
        <v/>
      </c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5"/>
      <c r="AX202" s="84"/>
      <c r="AY202" s="82"/>
      <c r="AZ202" s="82"/>
      <c r="BA202" s="82"/>
      <c r="BB202" s="82"/>
      <c r="BC202" s="82"/>
      <c r="BD202" s="82"/>
      <c r="BE202" s="82"/>
      <c r="BF202" s="82"/>
      <c r="BG202" s="82"/>
      <c r="BH202" s="84"/>
      <c r="BI202" s="82"/>
      <c r="BJ202" s="78"/>
      <c r="BL202" s="76" t="s">
        <v>1212</v>
      </c>
      <c r="BM202" s="76" t="s">
        <v>1404</v>
      </c>
    </row>
    <row r="203" spans="1:65" ht="21.4" customHeight="1">
      <c r="A203" s="78" t="str">
        <f t="shared" si="12"/>
        <v/>
      </c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3"/>
      <c r="M203" s="82"/>
      <c r="N203" s="83"/>
      <c r="O203" s="84"/>
      <c r="P203" s="82"/>
      <c r="Q203" s="85"/>
      <c r="R203" s="82"/>
      <c r="S203" s="82"/>
      <c r="T203" s="82"/>
      <c r="U203" s="82"/>
      <c r="V203" s="82"/>
      <c r="W203" s="82"/>
      <c r="X203" s="82"/>
      <c r="Y203" s="82"/>
      <c r="Z203" s="82"/>
      <c r="AA203" s="85"/>
      <c r="AB203" s="85"/>
      <c r="AC203" s="85"/>
      <c r="AD203" s="84"/>
      <c r="AE203" s="82"/>
      <c r="AF203" s="82"/>
      <c r="AG203" s="85"/>
      <c r="AH203" s="85" t="str">
        <f t="shared" si="13"/>
        <v/>
      </c>
      <c r="AI203" s="85"/>
      <c r="AJ203" s="85"/>
      <c r="AK203" s="85" t="str">
        <f t="shared" si="14"/>
        <v/>
      </c>
      <c r="AL203" s="83" t="str">
        <f t="shared" si="15"/>
        <v/>
      </c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5"/>
      <c r="AX203" s="84"/>
      <c r="AY203" s="82"/>
      <c r="AZ203" s="82"/>
      <c r="BA203" s="82"/>
      <c r="BB203" s="82"/>
      <c r="BC203" s="82"/>
      <c r="BD203" s="82"/>
      <c r="BE203" s="82"/>
      <c r="BF203" s="82"/>
      <c r="BG203" s="82"/>
      <c r="BH203" s="84"/>
      <c r="BI203" s="82"/>
      <c r="BJ203" s="78"/>
      <c r="BL203" s="76" t="s">
        <v>1212</v>
      </c>
      <c r="BM203" s="76" t="s">
        <v>1405</v>
      </c>
    </row>
    <row r="204" spans="1:65" ht="21.4" customHeight="1">
      <c r="A204" s="78" t="str">
        <f t="shared" si="12"/>
        <v/>
      </c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3"/>
      <c r="M204" s="82"/>
      <c r="N204" s="83"/>
      <c r="O204" s="84"/>
      <c r="P204" s="82"/>
      <c r="Q204" s="85"/>
      <c r="R204" s="82"/>
      <c r="S204" s="82"/>
      <c r="T204" s="82"/>
      <c r="U204" s="82"/>
      <c r="V204" s="82"/>
      <c r="W204" s="82"/>
      <c r="X204" s="82"/>
      <c r="Y204" s="82"/>
      <c r="Z204" s="82"/>
      <c r="AA204" s="85"/>
      <c r="AB204" s="85"/>
      <c r="AC204" s="85"/>
      <c r="AD204" s="84"/>
      <c r="AE204" s="82"/>
      <c r="AF204" s="82"/>
      <c r="AG204" s="85"/>
      <c r="AH204" s="85" t="str">
        <f t="shared" si="13"/>
        <v/>
      </c>
      <c r="AI204" s="85"/>
      <c r="AJ204" s="85"/>
      <c r="AK204" s="85" t="str">
        <f t="shared" si="14"/>
        <v/>
      </c>
      <c r="AL204" s="83" t="str">
        <f t="shared" si="15"/>
        <v/>
      </c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5"/>
      <c r="AX204" s="84"/>
      <c r="AY204" s="82"/>
      <c r="AZ204" s="82"/>
      <c r="BA204" s="82"/>
      <c r="BB204" s="82"/>
      <c r="BC204" s="82"/>
      <c r="BD204" s="82"/>
      <c r="BE204" s="82"/>
      <c r="BF204" s="82"/>
      <c r="BG204" s="82"/>
      <c r="BH204" s="84"/>
      <c r="BI204" s="82"/>
      <c r="BJ204" s="78"/>
      <c r="BL204" s="76" t="s">
        <v>1214</v>
      </c>
      <c r="BM204" s="76" t="s">
        <v>1406</v>
      </c>
    </row>
    <row r="205" spans="1:65" ht="21.4" customHeight="1">
      <c r="A205" s="78" t="str">
        <f t="shared" si="12"/>
        <v/>
      </c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9"/>
      <c r="M205" s="78"/>
      <c r="N205" s="79"/>
      <c r="O205" s="80"/>
      <c r="P205" s="78"/>
      <c r="Q205" s="81"/>
      <c r="R205" s="78"/>
      <c r="S205" s="78"/>
      <c r="T205" s="78"/>
      <c r="U205" s="78"/>
      <c r="V205" s="78"/>
      <c r="W205" s="78"/>
      <c r="X205" s="78"/>
      <c r="Y205" s="78"/>
      <c r="Z205" s="78"/>
      <c r="AA205" s="81"/>
      <c r="AB205" s="81"/>
      <c r="AC205" s="81"/>
      <c r="AD205" s="80"/>
      <c r="AE205" s="78"/>
      <c r="AF205" s="78"/>
      <c r="AG205" s="81"/>
      <c r="AH205" s="81" t="str">
        <f t="shared" si="13"/>
        <v/>
      </c>
      <c r="AI205" s="81"/>
      <c r="AJ205" s="81"/>
      <c r="AK205" s="81" t="str">
        <f t="shared" si="14"/>
        <v/>
      </c>
      <c r="AL205" s="79" t="str">
        <f t="shared" si="15"/>
        <v/>
      </c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81"/>
      <c r="AX205" s="80"/>
      <c r="AY205" s="78"/>
      <c r="AZ205" s="78"/>
      <c r="BA205" s="78"/>
      <c r="BB205" s="78"/>
      <c r="BC205" s="78"/>
      <c r="BD205" s="78"/>
      <c r="BE205" s="78"/>
      <c r="BF205" s="78"/>
      <c r="BG205" s="78"/>
      <c r="BH205" s="80"/>
      <c r="BI205" s="78"/>
      <c r="BJ205" s="78"/>
      <c r="BL205" s="76" t="s">
        <v>1214</v>
      </c>
      <c r="BM205" s="76" t="s">
        <v>1407</v>
      </c>
    </row>
    <row r="206" spans="1:65">
      <c r="BL206" s="76" t="s">
        <v>1214</v>
      </c>
      <c r="BM206" s="76" t="s">
        <v>1408</v>
      </c>
    </row>
    <row r="207" spans="1:65">
      <c r="BL207" s="76" t="s">
        <v>1214</v>
      </c>
      <c r="BM207" s="76" t="s">
        <v>1409</v>
      </c>
    </row>
    <row r="208" spans="1:65" ht="16" customHeight="1">
      <c r="A208" s="93" t="s">
        <v>1410</v>
      </c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L208" s="76" t="s">
        <v>1214</v>
      </c>
      <c r="BM208" s="76" t="s">
        <v>1411</v>
      </c>
    </row>
    <row r="209" spans="1:65" ht="28" customHeight="1">
      <c r="A209" s="86" t="s">
        <v>1153</v>
      </c>
      <c r="B209" s="87" t="s">
        <v>1412</v>
      </c>
      <c r="BL209" s="76" t="s">
        <v>1214</v>
      </c>
      <c r="BM209" s="76" t="s">
        <v>1413</v>
      </c>
    </row>
    <row r="210" spans="1:65" ht="28" customHeight="1">
      <c r="A210" s="86" t="s">
        <v>1154</v>
      </c>
      <c r="B210" s="87" t="s">
        <v>1414</v>
      </c>
      <c r="BL210" s="76" t="s">
        <v>1216</v>
      </c>
      <c r="BM210" s="76" t="s">
        <v>1415</v>
      </c>
    </row>
    <row r="211" spans="1:65" ht="28" customHeight="1">
      <c r="A211" s="86" t="s">
        <v>1158</v>
      </c>
      <c r="B211" s="87" t="s">
        <v>1416</v>
      </c>
      <c r="BL211" s="76" t="s">
        <v>1216</v>
      </c>
      <c r="BM211" s="76" t="s">
        <v>1417</v>
      </c>
    </row>
    <row r="212" spans="1:65" ht="28" customHeight="1">
      <c r="A212" s="86" t="s">
        <v>1163</v>
      </c>
      <c r="B212" s="87" t="s">
        <v>1418</v>
      </c>
      <c r="BL212" s="76" t="s">
        <v>1216</v>
      </c>
      <c r="BM212" s="76" t="s">
        <v>1419</v>
      </c>
    </row>
    <row r="213" spans="1:65" ht="28" customHeight="1">
      <c r="A213" s="86" t="s">
        <v>1166</v>
      </c>
      <c r="B213" s="87" t="s">
        <v>1420</v>
      </c>
      <c r="BL213" s="76" t="s">
        <v>1216</v>
      </c>
      <c r="BM213" s="76" t="s">
        <v>1421</v>
      </c>
    </row>
    <row r="214" spans="1:65" ht="28" customHeight="1">
      <c r="A214" s="86" t="s">
        <v>1167</v>
      </c>
      <c r="B214" s="87" t="s">
        <v>1422</v>
      </c>
      <c r="BL214" s="76" t="s">
        <v>1216</v>
      </c>
      <c r="BM214" s="76" t="s">
        <v>1423</v>
      </c>
    </row>
    <row r="215" spans="1:65" ht="28" customHeight="1">
      <c r="A215" s="86" t="s">
        <v>1152</v>
      </c>
      <c r="B215" s="87" t="s">
        <v>1424</v>
      </c>
      <c r="BL215" s="76" t="s">
        <v>1216</v>
      </c>
      <c r="BM215" s="76" t="s">
        <v>1425</v>
      </c>
    </row>
    <row r="216" spans="1:65" ht="28" customHeight="1">
      <c r="A216" s="86" t="s">
        <v>1183</v>
      </c>
      <c r="B216" s="87" t="s">
        <v>1426</v>
      </c>
      <c r="BL216" s="76" t="s">
        <v>1216</v>
      </c>
      <c r="BM216" s="76" t="s">
        <v>1427</v>
      </c>
    </row>
    <row r="217" spans="1:65">
      <c r="BL217" s="76" t="s">
        <v>1216</v>
      </c>
      <c r="BM217" s="76" t="s">
        <v>1428</v>
      </c>
    </row>
    <row r="218" spans="1:65" ht="30.65" customHeight="1">
      <c r="A218" s="99" t="s">
        <v>1429</v>
      </c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  <c r="AY218" s="99"/>
      <c r="AZ218" s="99"/>
      <c r="BA218" s="99"/>
      <c r="BB218" s="99"/>
      <c r="BC218" s="99"/>
      <c r="BD218" s="99"/>
      <c r="BE218" s="99"/>
      <c r="BF218" s="99"/>
      <c r="BG218" s="99"/>
      <c r="BH218" s="99"/>
      <c r="BI218" s="99"/>
      <c r="BJ218" s="99"/>
      <c r="BL218" s="76" t="s">
        <v>1216</v>
      </c>
      <c r="BM218" s="76" t="s">
        <v>1430</v>
      </c>
    </row>
    <row r="219" spans="1:65">
      <c r="BL219" s="76" t="s">
        <v>1216</v>
      </c>
      <c r="BM219" s="76" t="s">
        <v>1431</v>
      </c>
    </row>
    <row r="220" spans="1:65">
      <c r="BL220" s="76" t="s">
        <v>1216</v>
      </c>
      <c r="BM220" s="76" t="s">
        <v>1432</v>
      </c>
    </row>
    <row r="221" spans="1:65">
      <c r="BL221" s="76" t="s">
        <v>1218</v>
      </c>
      <c r="BM221" s="76" t="s">
        <v>1433</v>
      </c>
    </row>
    <row r="222" spans="1:65">
      <c r="BL222" s="76" t="s">
        <v>1218</v>
      </c>
      <c r="BM222" s="76" t="s">
        <v>1434</v>
      </c>
    </row>
    <row r="223" spans="1:65">
      <c r="BL223" s="76" t="s">
        <v>1218</v>
      </c>
      <c r="BM223" s="76" t="s">
        <v>1435</v>
      </c>
    </row>
    <row r="224" spans="1:65">
      <c r="BL224" s="76" t="s">
        <v>1218</v>
      </c>
      <c r="BM224" s="76" t="s">
        <v>1436</v>
      </c>
    </row>
    <row r="225" spans="64:65">
      <c r="BL225" s="76" t="s">
        <v>1218</v>
      </c>
      <c r="BM225" s="76" t="s">
        <v>1437</v>
      </c>
    </row>
    <row r="226" spans="64:65">
      <c r="BL226" s="76" t="s">
        <v>1218</v>
      </c>
      <c r="BM226" s="76" t="s">
        <v>1438</v>
      </c>
    </row>
    <row r="227" spans="64:65">
      <c r="BL227" s="76" t="s">
        <v>1218</v>
      </c>
      <c r="BM227" s="76" t="s">
        <v>1439</v>
      </c>
    </row>
    <row r="228" spans="64:65">
      <c r="BL228" s="76" t="s">
        <v>1218</v>
      </c>
      <c r="BM228" s="76" t="s">
        <v>1440</v>
      </c>
    </row>
    <row r="229" spans="64:65">
      <c r="BL229" s="76" t="s">
        <v>1218</v>
      </c>
      <c r="BM229" s="76" t="s">
        <v>1441</v>
      </c>
    </row>
    <row r="230" spans="64:65">
      <c r="BL230" s="76" t="s">
        <v>1218</v>
      </c>
      <c r="BM230" s="76" t="s">
        <v>1442</v>
      </c>
    </row>
    <row r="231" spans="64:65">
      <c r="BL231" s="76" t="s">
        <v>1218</v>
      </c>
      <c r="BM231" s="76" t="s">
        <v>1443</v>
      </c>
    </row>
    <row r="232" spans="64:65">
      <c r="BL232" s="76" t="s">
        <v>1218</v>
      </c>
      <c r="BM232" s="76" t="s">
        <v>1444</v>
      </c>
    </row>
    <row r="233" spans="64:65">
      <c r="BL233" s="76" t="s">
        <v>1220</v>
      </c>
      <c r="BM233" s="76" t="s">
        <v>1445</v>
      </c>
    </row>
    <row r="234" spans="64:65">
      <c r="BL234" s="76" t="s">
        <v>1220</v>
      </c>
      <c r="BM234" s="76" t="s">
        <v>1446</v>
      </c>
    </row>
    <row r="235" spans="64:65">
      <c r="BL235" s="76" t="s">
        <v>1220</v>
      </c>
      <c r="BM235" s="76" t="s">
        <v>1447</v>
      </c>
    </row>
    <row r="236" spans="64:65">
      <c r="BL236" s="76" t="s">
        <v>1220</v>
      </c>
      <c r="BM236" s="76" t="s">
        <v>1448</v>
      </c>
    </row>
    <row r="237" spans="64:65">
      <c r="BL237" s="76" t="s">
        <v>1220</v>
      </c>
      <c r="BM237" s="76" t="s">
        <v>1449</v>
      </c>
    </row>
    <row r="238" spans="64:65">
      <c r="BL238" s="76" t="s">
        <v>1220</v>
      </c>
      <c r="BM238" s="76" t="s">
        <v>1450</v>
      </c>
    </row>
    <row r="239" spans="64:65">
      <c r="BL239" s="76" t="s">
        <v>1220</v>
      </c>
      <c r="BM239" s="76" t="s">
        <v>1451</v>
      </c>
    </row>
    <row r="240" spans="64:65">
      <c r="BL240" s="76" t="s">
        <v>1220</v>
      </c>
      <c r="BM240" s="76" t="s">
        <v>1452</v>
      </c>
    </row>
    <row r="241" spans="64:65">
      <c r="BL241" s="76" t="s">
        <v>1220</v>
      </c>
      <c r="BM241" s="76" t="s">
        <v>1453</v>
      </c>
    </row>
    <row r="242" spans="64:65">
      <c r="BL242" s="76" t="s">
        <v>1220</v>
      </c>
      <c r="BM242" s="76" t="s">
        <v>1454</v>
      </c>
    </row>
    <row r="243" spans="64:65">
      <c r="BL243" s="76" t="s">
        <v>1220</v>
      </c>
      <c r="BM243" s="76" t="s">
        <v>1455</v>
      </c>
    </row>
    <row r="244" spans="64:65">
      <c r="BL244" s="76" t="s">
        <v>1222</v>
      </c>
      <c r="BM244" s="76" t="s">
        <v>1456</v>
      </c>
    </row>
    <row r="245" spans="64:65">
      <c r="BL245" s="76" t="s">
        <v>1222</v>
      </c>
      <c r="BM245" s="76" t="s">
        <v>1457</v>
      </c>
    </row>
    <row r="246" spans="64:65">
      <c r="BL246" s="76" t="s">
        <v>1222</v>
      </c>
      <c r="BM246" s="76" t="s">
        <v>1458</v>
      </c>
    </row>
    <row r="247" spans="64:65">
      <c r="BL247" s="76" t="s">
        <v>1222</v>
      </c>
      <c r="BM247" s="76" t="s">
        <v>1459</v>
      </c>
    </row>
    <row r="248" spans="64:65">
      <c r="BL248" s="76" t="s">
        <v>1222</v>
      </c>
      <c r="BM248" s="76" t="s">
        <v>1460</v>
      </c>
    </row>
    <row r="249" spans="64:65">
      <c r="BL249" s="76" t="s">
        <v>1222</v>
      </c>
      <c r="BM249" s="76" t="s">
        <v>1461</v>
      </c>
    </row>
    <row r="250" spans="64:65">
      <c r="BL250" s="76" t="s">
        <v>1222</v>
      </c>
      <c r="BM250" s="76" t="s">
        <v>1462</v>
      </c>
    </row>
    <row r="251" spans="64:65">
      <c r="BL251" s="76" t="s">
        <v>1222</v>
      </c>
      <c r="BM251" s="76" t="s">
        <v>1463</v>
      </c>
    </row>
    <row r="252" spans="64:65">
      <c r="BL252" s="76" t="s">
        <v>1224</v>
      </c>
      <c r="BM252" s="76" t="s">
        <v>1464</v>
      </c>
    </row>
    <row r="253" spans="64:65">
      <c r="BL253" s="76" t="s">
        <v>1224</v>
      </c>
      <c r="BM253" s="76" t="s">
        <v>1465</v>
      </c>
    </row>
    <row r="254" spans="64:65">
      <c r="BL254" s="76" t="s">
        <v>1224</v>
      </c>
      <c r="BM254" s="76" t="s">
        <v>1238</v>
      </c>
    </row>
    <row r="255" spans="64:65">
      <c r="BL255" s="76" t="s">
        <v>1224</v>
      </c>
      <c r="BM255" s="76" t="s">
        <v>1237</v>
      </c>
    </row>
    <row r="256" spans="64:65">
      <c r="BL256" s="76" t="s">
        <v>1224</v>
      </c>
      <c r="BM256" s="76" t="s">
        <v>1466</v>
      </c>
    </row>
    <row r="257" spans="64:65">
      <c r="BL257" s="76" t="s">
        <v>1224</v>
      </c>
      <c r="BM257" s="76" t="s">
        <v>1467</v>
      </c>
    </row>
    <row r="258" spans="64:65">
      <c r="BL258" s="76" t="s">
        <v>1224</v>
      </c>
      <c r="BM258" s="76" t="s">
        <v>1468</v>
      </c>
    </row>
    <row r="259" spans="64:65">
      <c r="BL259" s="76" t="s">
        <v>1224</v>
      </c>
      <c r="BM259" s="76" t="s">
        <v>1469</v>
      </c>
    </row>
    <row r="260" spans="64:65">
      <c r="BL260" s="76" t="s">
        <v>1226</v>
      </c>
      <c r="BM260" s="76" t="s">
        <v>1470</v>
      </c>
    </row>
    <row r="261" spans="64:65">
      <c r="BL261" s="76" t="s">
        <v>1226</v>
      </c>
      <c r="BM261" s="76" t="s">
        <v>1471</v>
      </c>
    </row>
    <row r="262" spans="64:65">
      <c r="BL262" s="76" t="s">
        <v>1226</v>
      </c>
      <c r="BM262" s="76" t="s">
        <v>1472</v>
      </c>
    </row>
    <row r="263" spans="64:65">
      <c r="BL263" s="76" t="s">
        <v>1226</v>
      </c>
      <c r="BM263" s="76" t="s">
        <v>1473</v>
      </c>
    </row>
    <row r="264" spans="64:65">
      <c r="BL264" s="76" t="s">
        <v>1226</v>
      </c>
      <c r="BM264" s="76" t="s">
        <v>954</v>
      </c>
    </row>
    <row r="265" spans="64:65">
      <c r="BL265" s="76" t="s">
        <v>1226</v>
      </c>
      <c r="BM265" s="76" t="s">
        <v>1474</v>
      </c>
    </row>
    <row r="266" spans="64:65">
      <c r="BL266" s="76" t="s">
        <v>1226</v>
      </c>
      <c r="BM266" s="76" t="s">
        <v>1475</v>
      </c>
    </row>
    <row r="267" spans="64:65">
      <c r="BL267" s="76" t="s">
        <v>1228</v>
      </c>
      <c r="BM267" s="76" t="s">
        <v>1476</v>
      </c>
    </row>
    <row r="268" spans="64:65">
      <c r="BL268" s="76" t="s">
        <v>1228</v>
      </c>
      <c r="BM268" s="76" t="s">
        <v>1477</v>
      </c>
    </row>
    <row r="269" spans="64:65">
      <c r="BL269" s="76" t="s">
        <v>1228</v>
      </c>
      <c r="BM269" s="76" t="s">
        <v>1478</v>
      </c>
    </row>
    <row r="270" spans="64:65">
      <c r="BL270" s="76" t="s">
        <v>1228</v>
      </c>
      <c r="BM270" s="76" t="s">
        <v>1479</v>
      </c>
    </row>
    <row r="271" spans="64:65">
      <c r="BL271" s="76" t="s">
        <v>1228</v>
      </c>
      <c r="BM271" s="76" t="s">
        <v>1480</v>
      </c>
    </row>
    <row r="272" spans="64:65">
      <c r="BL272" s="76" t="s">
        <v>1228</v>
      </c>
      <c r="BM272" s="76" t="s">
        <v>1481</v>
      </c>
    </row>
    <row r="273" spans="64:65">
      <c r="BL273" s="76" t="s">
        <v>1228</v>
      </c>
      <c r="BM273" s="76" t="s">
        <v>1482</v>
      </c>
    </row>
    <row r="274" spans="64:65">
      <c r="BL274" s="76" t="s">
        <v>1230</v>
      </c>
      <c r="BM274" s="76" t="s">
        <v>1483</v>
      </c>
    </row>
    <row r="275" spans="64:65">
      <c r="BL275" s="76" t="s">
        <v>1230</v>
      </c>
      <c r="BM275" s="76" t="s">
        <v>1484</v>
      </c>
    </row>
    <row r="276" spans="64:65">
      <c r="BL276" s="76" t="s">
        <v>1230</v>
      </c>
      <c r="BM276" s="76" t="s">
        <v>1485</v>
      </c>
    </row>
    <row r="277" spans="64:65">
      <c r="BL277" s="76" t="s">
        <v>1230</v>
      </c>
      <c r="BM277" s="76" t="s">
        <v>1486</v>
      </c>
    </row>
    <row r="278" spans="64:65">
      <c r="BL278" s="76" t="s">
        <v>1230</v>
      </c>
      <c r="BM278" s="76" t="s">
        <v>1487</v>
      </c>
    </row>
    <row r="279" spans="64:65">
      <c r="BL279" s="76" t="s">
        <v>1230</v>
      </c>
      <c r="BM279" s="76" t="s">
        <v>1488</v>
      </c>
    </row>
    <row r="280" spans="64:65">
      <c r="BL280" s="76" t="s">
        <v>1230</v>
      </c>
      <c r="BM280" s="76" t="s">
        <v>1489</v>
      </c>
    </row>
    <row r="281" spans="64:65">
      <c r="BL281" s="76" t="s">
        <v>1230</v>
      </c>
      <c r="BM281" s="76" t="s">
        <v>1490</v>
      </c>
    </row>
    <row r="282" spans="64:65">
      <c r="BL282" s="76" t="s">
        <v>1230</v>
      </c>
      <c r="BM282" s="76" t="s">
        <v>1491</v>
      </c>
    </row>
    <row r="283" spans="64:65">
      <c r="BL283" s="76" t="s">
        <v>1232</v>
      </c>
      <c r="BM283" s="76" t="s">
        <v>1492</v>
      </c>
    </row>
    <row r="284" spans="64:65">
      <c r="BL284" s="76" t="s">
        <v>1232</v>
      </c>
      <c r="BM284" s="76" t="s">
        <v>1493</v>
      </c>
    </row>
    <row r="285" spans="64:65">
      <c r="BL285" s="76" t="s">
        <v>1232</v>
      </c>
      <c r="BM285" s="76" t="s">
        <v>1494</v>
      </c>
    </row>
    <row r="286" spans="64:65">
      <c r="BL286" s="76" t="s">
        <v>1232</v>
      </c>
      <c r="BM286" s="76" t="s">
        <v>1495</v>
      </c>
    </row>
    <row r="287" spans="64:65">
      <c r="BL287" s="76" t="s">
        <v>1232</v>
      </c>
      <c r="BM287" s="76" t="s">
        <v>1496</v>
      </c>
    </row>
    <row r="288" spans="64:65">
      <c r="BL288" s="76" t="s">
        <v>1232</v>
      </c>
      <c r="BM288" s="76" t="s">
        <v>1497</v>
      </c>
    </row>
    <row r="289" spans="64:65">
      <c r="BL289" s="76" t="s">
        <v>1232</v>
      </c>
      <c r="BM289" s="76" t="s">
        <v>1498</v>
      </c>
    </row>
    <row r="290" spans="64:65">
      <c r="BL290" s="76" t="s">
        <v>1232</v>
      </c>
      <c r="BM290" s="76" t="s">
        <v>1499</v>
      </c>
    </row>
    <row r="291" spans="64:65">
      <c r="BL291" s="76" t="s">
        <v>1232</v>
      </c>
      <c r="BM291" s="76" t="s">
        <v>1500</v>
      </c>
    </row>
    <row r="292" spans="64:65">
      <c r="BL292" s="76" t="s">
        <v>1232</v>
      </c>
      <c r="BM292" s="76" t="s">
        <v>1501</v>
      </c>
    </row>
    <row r="293" spans="64:65">
      <c r="BL293" s="76" t="s">
        <v>1232</v>
      </c>
      <c r="BM293" s="76" t="s">
        <v>1502</v>
      </c>
    </row>
    <row r="294" spans="64:65">
      <c r="BL294" s="76" t="s">
        <v>1234</v>
      </c>
      <c r="BM294" s="76" t="s">
        <v>1503</v>
      </c>
    </row>
    <row r="295" spans="64:65">
      <c r="BL295" s="76" t="s">
        <v>1234</v>
      </c>
      <c r="BM295" s="76" t="s">
        <v>1504</v>
      </c>
    </row>
    <row r="296" spans="64:65">
      <c r="BL296" s="76" t="s">
        <v>1234</v>
      </c>
      <c r="BM296" s="76" t="s">
        <v>1505</v>
      </c>
    </row>
    <row r="297" spans="64:65">
      <c r="BL297" s="76" t="s">
        <v>1234</v>
      </c>
      <c r="BM297" s="76" t="s">
        <v>1506</v>
      </c>
    </row>
    <row r="298" spans="64:65">
      <c r="BL298" s="76" t="s">
        <v>1234</v>
      </c>
      <c r="BM298" s="76" t="s">
        <v>1507</v>
      </c>
    </row>
    <row r="299" spans="64:65">
      <c r="BL299" s="76" t="s">
        <v>1234</v>
      </c>
      <c r="BM299" s="76" t="s">
        <v>1508</v>
      </c>
    </row>
    <row r="300" spans="64:65">
      <c r="BL300" s="76" t="s">
        <v>1234</v>
      </c>
      <c r="BM300" s="76" t="s">
        <v>1509</v>
      </c>
    </row>
    <row r="301" spans="64:65">
      <c r="BL301" s="76" t="s">
        <v>1234</v>
      </c>
      <c r="BM301" s="76" t="s">
        <v>1510</v>
      </c>
    </row>
  </sheetData>
  <mergeCells count="15">
    <mergeCell ref="A208:BJ208"/>
    <mergeCell ref="A218:BJ218"/>
    <mergeCell ref="A1:BJ2"/>
    <mergeCell ref="A3:BJ3"/>
    <mergeCell ref="A4:E4"/>
    <mergeCell ref="F4:N4"/>
    <mergeCell ref="O4:W4"/>
    <mergeCell ref="X4:Z4"/>
    <mergeCell ref="AA4:AL4"/>
    <mergeCell ref="AM4:AO4"/>
    <mergeCell ref="AP4:AT4"/>
    <mergeCell ref="AU4:AX4"/>
    <mergeCell ref="AY4:BC4"/>
    <mergeCell ref="BD4:BE4"/>
    <mergeCell ref="BF4:BJ4"/>
  </mergeCells>
  <conditionalFormatting sqref="AZ6:AZ205">
    <cfRule type="expression" dxfId="14" priority="9">
      <formula>AZ6="No existe"</formula>
    </cfRule>
    <cfRule type="expression" dxfId="13" priority="10">
      <formula>AZ6="Incompleto"</formula>
    </cfRule>
    <cfRule type="expression" dxfId="12" priority="11">
      <formula>AZ6="Completo y actualizado"</formula>
    </cfRule>
  </conditionalFormatting>
  <conditionalFormatting sqref="BF6:BF205">
    <cfRule type="expression" dxfId="11" priority="1">
      <formula>OR(BF6="Crítico",BF6="Crítica")</formula>
    </cfRule>
    <cfRule type="expression" dxfId="10" priority="2">
      <formula>OR(BF6="Alto",BF6="Alta")</formula>
    </cfRule>
    <cfRule type="expression" dxfId="9" priority="3">
      <formula>OR(BF6="Medio",BF6="Media")</formula>
    </cfRule>
    <cfRule type="expression" dxfId="8" priority="4">
      <formula>OR(BF6="Bajo",BF6="Baja")</formula>
    </cfRule>
  </conditionalFormatting>
  <conditionalFormatting sqref="BG6:BG205">
    <cfRule type="expression" dxfId="7" priority="5">
      <formula>OR(BG6="Crítico",BG6="Crítica")</formula>
    </cfRule>
    <cfRule type="expression" dxfId="6" priority="6">
      <formula>OR(BG6="Alto",BG6="Alta")</formula>
    </cfRule>
    <cfRule type="expression" dxfId="5" priority="7">
      <formula>OR(BG6="Medio",BG6="Media")</formula>
    </cfRule>
    <cfRule type="expression" dxfId="4" priority="8">
      <formula>OR(BG6="Bajo",BG6="Baja")</formula>
    </cfRule>
  </conditionalFormatting>
  <dataValidations count="17">
    <dataValidation type="list" sqref="C6:C205" xr:uid="{A11A595A-DFBB-4262-A57B-35FF22B61364}">
      <formula1>OFFSET($BM$2,MATCH($B6,$BL$2:$BL$301,0)-1,0,COUNTIF($BL$2:$BL$301,$B6),1)</formula1>
    </dataValidation>
    <dataValidation type="list" sqref="BG6:BG205" xr:uid="{889A97A2-07B0-4510-A300-8871D0083466}">
      <formula1>"Baja,Media,Alta,Crítica,Por determinar"</formula1>
    </dataValidation>
    <dataValidation type="list" sqref="BF6:BF205" xr:uid="{CB8FB3AF-B536-419E-ADFB-284663894F03}">
      <formula1>"Bajo,Medio,Alto,Crítico,Por determinar"</formula1>
    </dataValidation>
    <dataValidation type="list" sqref="AZ6:AZ205" xr:uid="{7A8D8005-57DB-4AB9-BDDE-A35778B419AA}">
      <formula1>"Completo y actualizado,Existe, requiere revisión,Incompleto,No existe,No sabe,No aplica"</formula1>
    </dataValidation>
    <dataValidation type="list" sqref="AQ6:AQ205" xr:uid="{AF5998E7-58B4-4CE8-A474-694DE0E29090}">
      <formula1>"Saneado,Con observaciones,En litigio,Embargado,En sucesión,Por revisar,No aplica"</formula1>
    </dataValidation>
    <dataValidation type="list" sqref="AP6:AP205" xr:uid="{8F517323-4A98-4121-9D37-76C853432008}">
      <formula1>"Excelente,Bueno,Regular,Malo,No aplica,Por revisar"</formula1>
    </dataValidation>
    <dataValidation type="list" sqref="AO6:AO205" xr:uid="{E3482656-8E14-4FA0-A8FC-2B9345E99BD2}">
      <formula1>"Alta,Media,Baja,Muy baja,Por determinar"</formula1>
    </dataValidation>
    <dataValidation type="list" sqref="AE6:AE205" xr:uid="{1C8D5468-4160-4B37-A7A2-7642F87DB8E4}">
      <formula1>"Costo de adquisición,Valor contable,Valor fiscal,Avalúo comercial,Patrimonio contable,Patrimonio ajustado,Flujo de caja,Valor de mercado,Cotización,Estimación preliminar,Otro"</formula1>
    </dataValidation>
    <dataValidation type="list" sqref="W6:W205" xr:uid="{64147975-E73D-4427-B1F1-8FB8A5B9DD10}">
      <formula1>"Bien propio,Bien social o ganancial,Activo empresarial,Copropiedad,Por determinar,No aplica"</formula1>
    </dataValidation>
    <dataValidation type="list" sqref="V6:V205 BA6:BA205 AU6:AU205 AR6:AR205 AM6:AN205" xr:uid="{03C1FDD9-6346-49F5-8241-326D368FB8DA}">
      <formula1>"Sí,No,No sabe,No aplica"</formula1>
    </dataValidation>
    <dataValidation type="list" sqref="U6:U205" xr:uid="{D7056167-9722-4C1F-B32B-0EC0FC456FE8}">
      <formula1>"Soltero(a),Casado(a),Unión libre,Divorciado(a),Viudo(a),No aplica,Por confirmar"</formula1>
    </dataValidation>
    <dataValidation type="list" sqref="R6:R205" xr:uid="{8833AB13-7B40-4262-8982-C9AEB680F016}">
      <formula1>"COP,USD,EUR,Otra"</formula1>
    </dataValidation>
    <dataValidation type="list" sqref="P6:P205" xr:uid="{9747EC80-2D6C-4A4A-BD4D-2F2F8651525A}">
      <formula1>"Compra,Constitución o aporte,Donación,Herencia,Adjudicación,Permuta,Capitalización,Cesión,Producción propia,Construcción,Otro"</formula1>
    </dataValidation>
    <dataValidation type="list" sqref="K6:K205" xr:uid="{784B7BFC-F758-4652-96D8-251626FFC56A}">
      <formula1>"Primera generación,Segunda generación,Tercera generación,Cuarta generación,Familia política,No aplica"</formula1>
    </dataValidation>
    <dataValidation type="list" sqref="G6:G205" xr:uid="{75AEDAF7-3139-4124-B235-2B07D43E3BDD}">
      <formula1>"Persona natural,Persona jurídica,Copropiedad,Patrimonio autónomo,Sucesión,Otro"</formula1>
    </dataValidation>
    <dataValidation type="list" sqref="F6:F205" xr:uid="{203AA025-1D47-4BAE-B165-33E84BF16BB1}">
      <formula1>"Personal,Familiar,Empresarial,Compartido,Por determinar"</formula1>
    </dataValidation>
    <dataValidation type="list" sqref="B6:B205" xr:uid="{CA7C2908-8919-4EB1-AECA-7AB69E3D65FC}">
      <formula1>$BO$2:$BO$28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4"/>
  <sheetViews>
    <sheetView workbookViewId="0">
      <selection activeCell="F5" sqref="F5"/>
    </sheetView>
  </sheetViews>
  <sheetFormatPr baseColWidth="10" defaultColWidth="8.6640625" defaultRowHeight="14"/>
  <cols>
    <col min="1" max="1" width="12" customWidth="1"/>
    <col min="2" max="3" width="27" customWidth="1"/>
    <col min="4" max="4" width="28" customWidth="1"/>
    <col min="5" max="5" width="13" customWidth="1"/>
    <col min="6" max="6" width="14" customWidth="1"/>
    <col min="7" max="7" width="26" customWidth="1"/>
    <col min="8" max="8" width="27" customWidth="1"/>
    <col min="9" max="9" width="30" customWidth="1"/>
    <col min="10" max="10" width="19" customWidth="1"/>
    <col min="11" max="11" width="25" customWidth="1"/>
    <col min="12" max="12" width="16" customWidth="1"/>
    <col min="13" max="13" width="14" customWidth="1"/>
    <col min="14" max="14" width="35" customWidth="1"/>
  </cols>
  <sheetData>
    <row r="1" spans="1:14" ht="20" customHeight="1">
      <c r="A1" s="94" t="s">
        <v>171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4" ht="29.4" customHeight="1">
      <c r="A3" s="98" t="s">
        <v>172</v>
      </c>
      <c r="B3" s="98"/>
      <c r="C3" s="103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 ht="28">
      <c r="A4" s="1" t="s">
        <v>109</v>
      </c>
      <c r="B4" s="2" t="s">
        <v>173</v>
      </c>
      <c r="C4" s="73" t="s">
        <v>1110</v>
      </c>
      <c r="D4" s="2" t="s">
        <v>174</v>
      </c>
      <c r="E4" s="2" t="s">
        <v>175</v>
      </c>
      <c r="F4" s="2" t="s">
        <v>176</v>
      </c>
      <c r="G4" s="2" t="s">
        <v>177</v>
      </c>
      <c r="H4" s="2" t="s">
        <v>178</v>
      </c>
      <c r="I4" s="2" t="s">
        <v>179</v>
      </c>
      <c r="J4" s="2" t="s">
        <v>180</v>
      </c>
      <c r="K4" s="2" t="s">
        <v>181</v>
      </c>
      <c r="L4" s="2" t="s">
        <v>182</v>
      </c>
      <c r="M4" s="2" t="s">
        <v>183</v>
      </c>
      <c r="N4" s="3" t="s">
        <v>123</v>
      </c>
    </row>
    <row r="5" spans="1:14" ht="28">
      <c r="A5" s="5" t="str">
        <f t="shared" ref="A5:A36" si="0">IF(B5="","","DOC-"&amp;TEXT(ROW()-4,"000"))</f>
        <v/>
      </c>
      <c r="B5" s="6"/>
      <c r="C5" s="67" t="s">
        <v>699</v>
      </c>
      <c r="D5" s="6" t="str">
        <f>HLOOKUP(DocumentosTable[[#This Row],[Categoria]],Listas!$H$1:$Z$27,1,FALSE)</f>
        <v>01. Constitución y existencia de las empresas</v>
      </c>
      <c r="E5" s="6"/>
      <c r="F5" s="21"/>
      <c r="G5" s="6"/>
      <c r="H5" s="6"/>
      <c r="I5" s="6"/>
      <c r="J5" s="6"/>
      <c r="K5" s="6"/>
      <c r="L5" s="21"/>
      <c r="M5" s="6"/>
      <c r="N5" s="7"/>
    </row>
    <row r="6" spans="1:14">
      <c r="A6" s="8" t="str">
        <f t="shared" si="0"/>
        <v/>
      </c>
      <c r="B6" s="9"/>
      <c r="C6" s="9"/>
      <c r="D6" s="9" t="e">
        <f>HLOOKUP(DocumentosTable[[#This Row],[Categoria]],Listas!$H$1:$Z$27,1,FALSE)</f>
        <v>#N/A</v>
      </c>
      <c r="E6" s="9"/>
      <c r="F6" s="22"/>
      <c r="G6" s="9"/>
      <c r="H6" s="9"/>
      <c r="I6" s="9"/>
      <c r="J6" s="9"/>
      <c r="K6" s="9"/>
      <c r="L6" s="22"/>
      <c r="M6" s="9"/>
      <c r="N6" s="10"/>
    </row>
    <row r="7" spans="1:14">
      <c r="A7" s="8" t="str">
        <f t="shared" si="0"/>
        <v/>
      </c>
      <c r="B7" s="9"/>
      <c r="C7" s="9"/>
      <c r="D7" s="9" t="e">
        <f>HLOOKUP(DocumentosTable[[#This Row],[Categoria]],Listas!$H$1:$Z$27,1,FALSE)</f>
        <v>#N/A</v>
      </c>
      <c r="E7" s="9"/>
      <c r="F7" s="22"/>
      <c r="G7" s="9"/>
      <c r="H7" s="9"/>
      <c r="I7" s="9"/>
      <c r="J7" s="9"/>
      <c r="K7" s="9"/>
      <c r="L7" s="22"/>
      <c r="M7" s="9"/>
      <c r="N7" s="10"/>
    </row>
    <row r="8" spans="1:14">
      <c r="A8" s="8" t="str">
        <f t="shared" si="0"/>
        <v/>
      </c>
      <c r="B8" s="9"/>
      <c r="C8" s="9"/>
      <c r="D8" s="9" t="e">
        <f>HLOOKUP(DocumentosTable[[#This Row],[Categoria]],Listas!$H$1:$Z$27,1,FALSE)</f>
        <v>#N/A</v>
      </c>
      <c r="E8" s="9"/>
      <c r="F8" s="22"/>
      <c r="G8" s="9"/>
      <c r="H8" s="9"/>
      <c r="I8" s="9"/>
      <c r="J8" s="9"/>
      <c r="K8" s="9"/>
      <c r="L8" s="22"/>
      <c r="M8" s="9"/>
      <c r="N8" s="10"/>
    </row>
    <row r="9" spans="1:14">
      <c r="A9" s="8" t="str">
        <f t="shared" si="0"/>
        <v/>
      </c>
      <c r="B9" s="9"/>
      <c r="C9" s="9"/>
      <c r="D9" s="9" t="e">
        <f>HLOOKUP(DocumentosTable[[#This Row],[Categoria]],Listas!$H$1:$Z$27,1,FALSE)</f>
        <v>#N/A</v>
      </c>
      <c r="E9" s="9"/>
      <c r="F9" s="22"/>
      <c r="G9" s="9"/>
      <c r="H9" s="9"/>
      <c r="I9" s="9"/>
      <c r="J9" s="9"/>
      <c r="K9" s="9"/>
      <c r="L9" s="22"/>
      <c r="M9" s="9"/>
      <c r="N9" s="10"/>
    </row>
    <row r="10" spans="1:14">
      <c r="A10" s="8" t="str">
        <f t="shared" si="0"/>
        <v/>
      </c>
      <c r="B10" s="9"/>
      <c r="C10" s="9"/>
      <c r="D10" s="9" t="e">
        <f>HLOOKUP(DocumentosTable[[#This Row],[Categoria]],Listas!$H$1:$Z$27,1,FALSE)</f>
        <v>#N/A</v>
      </c>
      <c r="E10" s="9"/>
      <c r="F10" s="22"/>
      <c r="G10" s="9"/>
      <c r="H10" s="9"/>
      <c r="I10" s="9"/>
      <c r="J10" s="9"/>
      <c r="K10" s="9"/>
      <c r="L10" s="22"/>
      <c r="M10" s="9"/>
      <c r="N10" s="10"/>
    </row>
    <row r="11" spans="1:14">
      <c r="A11" s="8" t="str">
        <f t="shared" si="0"/>
        <v/>
      </c>
      <c r="B11" s="9"/>
      <c r="C11" s="9"/>
      <c r="D11" s="9" t="e">
        <f>HLOOKUP(DocumentosTable[[#This Row],[Categoria]],Listas!$H$1:$Z$27,1,FALSE)</f>
        <v>#N/A</v>
      </c>
      <c r="E11" s="9"/>
      <c r="F11" s="22"/>
      <c r="G11" s="9"/>
      <c r="H11" s="9"/>
      <c r="I11" s="9"/>
      <c r="J11" s="9"/>
      <c r="K11" s="9"/>
      <c r="L11" s="22"/>
      <c r="M11" s="9"/>
      <c r="N11" s="10"/>
    </row>
    <row r="12" spans="1:14">
      <c r="A12" s="8" t="str">
        <f t="shared" si="0"/>
        <v/>
      </c>
      <c r="B12" s="9"/>
      <c r="C12" s="9"/>
      <c r="D12" s="9" t="e">
        <f>HLOOKUP(DocumentosTable[[#This Row],[Categoria]],Listas!$H$1:$Z$27,1,FALSE)</f>
        <v>#N/A</v>
      </c>
      <c r="E12" s="9"/>
      <c r="F12" s="22"/>
      <c r="G12" s="9"/>
      <c r="H12" s="9"/>
      <c r="I12" s="9"/>
      <c r="J12" s="9"/>
      <c r="K12" s="9"/>
      <c r="L12" s="22"/>
      <c r="M12" s="9"/>
      <c r="N12" s="10"/>
    </row>
    <row r="13" spans="1:14">
      <c r="A13" s="8" t="str">
        <f t="shared" si="0"/>
        <v/>
      </c>
      <c r="B13" s="9"/>
      <c r="C13" s="9"/>
      <c r="D13" s="9" t="e">
        <f>HLOOKUP(DocumentosTable[[#This Row],[Categoria]],Listas!$H$1:$Z$27,1,FALSE)</f>
        <v>#N/A</v>
      </c>
      <c r="E13" s="9"/>
      <c r="F13" s="22"/>
      <c r="G13" s="9"/>
      <c r="H13" s="9"/>
      <c r="I13" s="9"/>
      <c r="J13" s="9"/>
      <c r="K13" s="9"/>
      <c r="L13" s="22"/>
      <c r="M13" s="9"/>
      <c r="N13" s="10"/>
    </row>
    <row r="14" spans="1:14">
      <c r="A14" s="8" t="str">
        <f t="shared" si="0"/>
        <v/>
      </c>
      <c r="B14" s="9"/>
      <c r="C14" s="9"/>
      <c r="D14" s="9" t="e">
        <f>HLOOKUP(DocumentosTable[[#This Row],[Categoria]],Listas!$H$1:$Z$27,1,FALSE)</f>
        <v>#N/A</v>
      </c>
      <c r="E14" s="9"/>
      <c r="F14" s="22"/>
      <c r="G14" s="9"/>
      <c r="H14" s="9"/>
      <c r="I14" s="9"/>
      <c r="J14" s="9"/>
      <c r="K14" s="9"/>
      <c r="L14" s="22"/>
      <c r="M14" s="9"/>
      <c r="N14" s="10"/>
    </row>
    <row r="15" spans="1:14">
      <c r="A15" s="8" t="str">
        <f t="shared" si="0"/>
        <v/>
      </c>
      <c r="B15" s="9"/>
      <c r="C15" s="9"/>
      <c r="D15" s="9" t="e">
        <f>HLOOKUP(DocumentosTable[[#This Row],[Categoria]],Listas!$H$1:$Z$27,1,FALSE)</f>
        <v>#N/A</v>
      </c>
      <c r="E15" s="9"/>
      <c r="F15" s="22"/>
      <c r="G15" s="9"/>
      <c r="H15" s="9"/>
      <c r="I15" s="9"/>
      <c r="J15" s="9"/>
      <c r="K15" s="9"/>
      <c r="L15" s="22"/>
      <c r="M15" s="9"/>
      <c r="N15" s="10"/>
    </row>
    <row r="16" spans="1:14">
      <c r="A16" s="8" t="str">
        <f t="shared" si="0"/>
        <v/>
      </c>
      <c r="B16" s="9"/>
      <c r="C16" s="9"/>
      <c r="D16" s="9" t="e">
        <f>HLOOKUP(DocumentosTable[[#This Row],[Categoria]],Listas!$H$1:$Z$27,1,FALSE)</f>
        <v>#N/A</v>
      </c>
      <c r="E16" s="9"/>
      <c r="F16" s="22"/>
      <c r="G16" s="9"/>
      <c r="H16" s="9"/>
      <c r="I16" s="9"/>
      <c r="J16" s="9"/>
      <c r="K16" s="9"/>
      <c r="L16" s="22"/>
      <c r="M16" s="9"/>
      <c r="N16" s="10"/>
    </row>
    <row r="17" spans="1:14">
      <c r="A17" s="8" t="str">
        <f t="shared" si="0"/>
        <v/>
      </c>
      <c r="B17" s="9"/>
      <c r="C17" s="9"/>
      <c r="D17" s="9" t="e">
        <f>HLOOKUP(DocumentosTable[[#This Row],[Categoria]],Listas!$H$1:$Z$27,1,FALSE)</f>
        <v>#N/A</v>
      </c>
      <c r="E17" s="9"/>
      <c r="F17" s="22"/>
      <c r="G17" s="9"/>
      <c r="H17" s="9"/>
      <c r="I17" s="9"/>
      <c r="J17" s="9"/>
      <c r="K17" s="9"/>
      <c r="L17" s="22"/>
      <c r="M17" s="9"/>
      <c r="N17" s="10"/>
    </row>
    <row r="18" spans="1:14">
      <c r="A18" s="8" t="str">
        <f t="shared" si="0"/>
        <v/>
      </c>
      <c r="B18" s="9"/>
      <c r="C18" s="9"/>
      <c r="D18" s="9" t="e">
        <f>HLOOKUP(DocumentosTable[[#This Row],[Categoria]],Listas!$H$1:$Z$27,1,FALSE)</f>
        <v>#N/A</v>
      </c>
      <c r="E18" s="9"/>
      <c r="F18" s="22"/>
      <c r="G18" s="9"/>
      <c r="H18" s="9"/>
      <c r="I18" s="9"/>
      <c r="J18" s="9"/>
      <c r="K18" s="9"/>
      <c r="L18" s="22"/>
      <c r="M18" s="9"/>
      <c r="N18" s="10"/>
    </row>
    <row r="19" spans="1:14">
      <c r="A19" s="8" t="str">
        <f t="shared" si="0"/>
        <v/>
      </c>
      <c r="B19" s="9"/>
      <c r="C19" s="9"/>
      <c r="D19" s="9" t="e">
        <f>HLOOKUP(DocumentosTable[[#This Row],[Categoria]],Listas!$H$1:$Z$27,1,FALSE)</f>
        <v>#N/A</v>
      </c>
      <c r="E19" s="9"/>
      <c r="F19" s="22"/>
      <c r="G19" s="9"/>
      <c r="H19" s="9"/>
      <c r="I19" s="9"/>
      <c r="J19" s="9"/>
      <c r="K19" s="9"/>
      <c r="L19" s="22"/>
      <c r="M19" s="9"/>
      <c r="N19" s="10"/>
    </row>
    <row r="20" spans="1:14">
      <c r="A20" s="8" t="str">
        <f t="shared" si="0"/>
        <v/>
      </c>
      <c r="B20" s="9"/>
      <c r="C20" s="9"/>
      <c r="D20" s="9" t="e">
        <f>HLOOKUP(DocumentosTable[[#This Row],[Categoria]],Listas!$H$1:$Z$27,1,FALSE)</f>
        <v>#N/A</v>
      </c>
      <c r="E20" s="9"/>
      <c r="F20" s="22"/>
      <c r="G20" s="9"/>
      <c r="H20" s="9"/>
      <c r="I20" s="9"/>
      <c r="J20" s="9"/>
      <c r="K20" s="9"/>
      <c r="L20" s="22"/>
      <c r="M20" s="9"/>
      <c r="N20" s="10"/>
    </row>
    <row r="21" spans="1:14">
      <c r="A21" s="8" t="str">
        <f t="shared" si="0"/>
        <v/>
      </c>
      <c r="B21" s="9"/>
      <c r="C21" s="9"/>
      <c r="D21" s="9" t="e">
        <f>HLOOKUP(DocumentosTable[[#This Row],[Categoria]],Listas!$H$1:$Z$27,1,FALSE)</f>
        <v>#N/A</v>
      </c>
      <c r="E21" s="9"/>
      <c r="F21" s="22"/>
      <c r="G21" s="9"/>
      <c r="H21" s="9"/>
      <c r="I21" s="9"/>
      <c r="J21" s="9"/>
      <c r="K21" s="9"/>
      <c r="L21" s="22"/>
      <c r="M21" s="9"/>
      <c r="N21" s="10"/>
    </row>
    <row r="22" spans="1:14">
      <c r="A22" s="8" t="str">
        <f t="shared" si="0"/>
        <v/>
      </c>
      <c r="B22" s="9"/>
      <c r="C22" s="9"/>
      <c r="D22" s="9" t="e">
        <f>HLOOKUP(DocumentosTable[[#This Row],[Categoria]],Listas!$H$1:$Z$27,1,FALSE)</f>
        <v>#N/A</v>
      </c>
      <c r="E22" s="9"/>
      <c r="F22" s="22"/>
      <c r="G22" s="9"/>
      <c r="H22" s="9"/>
      <c r="I22" s="9"/>
      <c r="J22" s="9"/>
      <c r="K22" s="9"/>
      <c r="L22" s="22"/>
      <c r="M22" s="9"/>
      <c r="N22" s="10"/>
    </row>
    <row r="23" spans="1:14">
      <c r="A23" s="8" t="str">
        <f t="shared" si="0"/>
        <v/>
      </c>
      <c r="B23" s="9"/>
      <c r="C23" s="9"/>
      <c r="D23" s="9" t="e">
        <f>HLOOKUP(DocumentosTable[[#This Row],[Categoria]],Listas!$H$1:$Z$27,1,FALSE)</f>
        <v>#N/A</v>
      </c>
      <c r="E23" s="9"/>
      <c r="F23" s="22"/>
      <c r="G23" s="9"/>
      <c r="H23" s="9"/>
      <c r="I23" s="9"/>
      <c r="J23" s="9"/>
      <c r="K23" s="9"/>
      <c r="L23" s="22"/>
      <c r="M23" s="9"/>
      <c r="N23" s="10"/>
    </row>
    <row r="24" spans="1:14">
      <c r="A24" s="8" t="str">
        <f t="shared" si="0"/>
        <v/>
      </c>
      <c r="B24" s="9"/>
      <c r="C24" s="9"/>
      <c r="D24" s="9" t="e">
        <f>HLOOKUP(DocumentosTable[[#This Row],[Categoria]],Listas!$H$1:$Z$27,1,FALSE)</f>
        <v>#N/A</v>
      </c>
      <c r="E24" s="9"/>
      <c r="F24" s="22"/>
      <c r="G24" s="9"/>
      <c r="H24" s="9"/>
      <c r="I24" s="9"/>
      <c r="J24" s="9"/>
      <c r="K24" s="9"/>
      <c r="L24" s="22"/>
      <c r="M24" s="9"/>
      <c r="N24" s="10"/>
    </row>
    <row r="25" spans="1:14">
      <c r="A25" s="8" t="str">
        <f t="shared" si="0"/>
        <v/>
      </c>
      <c r="B25" s="9"/>
      <c r="C25" s="9"/>
      <c r="D25" s="9" t="e">
        <f>HLOOKUP(DocumentosTable[[#This Row],[Categoria]],Listas!$H$1:$Z$27,1,FALSE)</f>
        <v>#N/A</v>
      </c>
      <c r="E25" s="9"/>
      <c r="F25" s="22"/>
      <c r="G25" s="9"/>
      <c r="H25" s="9"/>
      <c r="I25" s="9"/>
      <c r="J25" s="9"/>
      <c r="K25" s="9"/>
      <c r="L25" s="22"/>
      <c r="M25" s="9"/>
      <c r="N25" s="10"/>
    </row>
    <row r="26" spans="1:14">
      <c r="A26" s="8" t="str">
        <f t="shared" si="0"/>
        <v/>
      </c>
      <c r="B26" s="9"/>
      <c r="C26" s="9"/>
      <c r="D26" s="9" t="e">
        <f>HLOOKUP(DocumentosTable[[#This Row],[Categoria]],Listas!$H$1:$Z$27,1,FALSE)</f>
        <v>#N/A</v>
      </c>
      <c r="E26" s="9"/>
      <c r="F26" s="22"/>
      <c r="G26" s="9"/>
      <c r="H26" s="9"/>
      <c r="I26" s="9"/>
      <c r="J26" s="9"/>
      <c r="K26" s="9"/>
      <c r="L26" s="22"/>
      <c r="M26" s="9"/>
      <c r="N26" s="10"/>
    </row>
    <row r="27" spans="1:14">
      <c r="A27" s="8" t="str">
        <f t="shared" si="0"/>
        <v/>
      </c>
      <c r="B27" s="9"/>
      <c r="C27" s="9"/>
      <c r="D27" s="9" t="e">
        <f>HLOOKUP(DocumentosTable[[#This Row],[Categoria]],Listas!$H$1:$Z$27,1,FALSE)</f>
        <v>#N/A</v>
      </c>
      <c r="E27" s="9"/>
      <c r="F27" s="22"/>
      <c r="G27" s="9"/>
      <c r="H27" s="9"/>
      <c r="I27" s="9"/>
      <c r="J27" s="9"/>
      <c r="K27" s="9"/>
      <c r="L27" s="22"/>
      <c r="M27" s="9"/>
      <c r="N27" s="10"/>
    </row>
    <row r="28" spans="1:14">
      <c r="A28" s="8" t="str">
        <f t="shared" si="0"/>
        <v/>
      </c>
      <c r="B28" s="9"/>
      <c r="C28" s="9"/>
      <c r="D28" s="9" t="e">
        <f>HLOOKUP(DocumentosTable[[#This Row],[Categoria]],Listas!$H$1:$Z$27,1,FALSE)</f>
        <v>#N/A</v>
      </c>
      <c r="E28" s="9"/>
      <c r="F28" s="22"/>
      <c r="G28" s="9"/>
      <c r="H28" s="9"/>
      <c r="I28" s="9"/>
      <c r="J28" s="9"/>
      <c r="K28" s="9"/>
      <c r="L28" s="22"/>
      <c r="M28" s="9"/>
      <c r="N28" s="10"/>
    </row>
    <row r="29" spans="1:14">
      <c r="A29" s="8" t="str">
        <f t="shared" si="0"/>
        <v/>
      </c>
      <c r="B29" s="9"/>
      <c r="C29" s="9"/>
      <c r="D29" s="9" t="e">
        <f>HLOOKUP(DocumentosTable[[#This Row],[Categoria]],Listas!$H$1:$Z$27,1,FALSE)</f>
        <v>#N/A</v>
      </c>
      <c r="E29" s="9"/>
      <c r="F29" s="22"/>
      <c r="G29" s="9"/>
      <c r="H29" s="9"/>
      <c r="I29" s="9"/>
      <c r="J29" s="9"/>
      <c r="K29" s="9"/>
      <c r="L29" s="22"/>
      <c r="M29" s="9"/>
      <c r="N29" s="10"/>
    </row>
    <row r="30" spans="1:14">
      <c r="A30" s="8" t="str">
        <f t="shared" si="0"/>
        <v/>
      </c>
      <c r="B30" s="9"/>
      <c r="C30" s="9"/>
      <c r="D30" s="9" t="e">
        <f>HLOOKUP(DocumentosTable[[#This Row],[Categoria]],Listas!$H$1:$Z$27,1,FALSE)</f>
        <v>#N/A</v>
      </c>
      <c r="E30" s="9"/>
      <c r="F30" s="22"/>
      <c r="G30" s="9"/>
      <c r="H30" s="9"/>
      <c r="I30" s="9"/>
      <c r="J30" s="9"/>
      <c r="K30" s="9"/>
      <c r="L30" s="22"/>
      <c r="M30" s="9"/>
      <c r="N30" s="10"/>
    </row>
    <row r="31" spans="1:14">
      <c r="A31" s="8" t="str">
        <f t="shared" si="0"/>
        <v/>
      </c>
      <c r="B31" s="9"/>
      <c r="C31" s="9"/>
      <c r="D31" s="9" t="e">
        <f>HLOOKUP(DocumentosTable[[#This Row],[Categoria]],Listas!$H$1:$Z$27,1,FALSE)</f>
        <v>#N/A</v>
      </c>
      <c r="E31" s="9"/>
      <c r="F31" s="22"/>
      <c r="G31" s="9"/>
      <c r="H31" s="9"/>
      <c r="I31" s="9"/>
      <c r="J31" s="9"/>
      <c r="K31" s="9"/>
      <c r="L31" s="22"/>
      <c r="M31" s="9"/>
      <c r="N31" s="10"/>
    </row>
    <row r="32" spans="1:14">
      <c r="A32" s="8" t="str">
        <f t="shared" si="0"/>
        <v/>
      </c>
      <c r="B32" s="9"/>
      <c r="C32" s="9"/>
      <c r="D32" s="9" t="e">
        <f>HLOOKUP(DocumentosTable[[#This Row],[Categoria]],Listas!$H$1:$Z$27,1,FALSE)</f>
        <v>#N/A</v>
      </c>
      <c r="E32" s="9"/>
      <c r="F32" s="22"/>
      <c r="G32" s="9"/>
      <c r="H32" s="9"/>
      <c r="I32" s="9"/>
      <c r="J32" s="9"/>
      <c r="K32" s="9"/>
      <c r="L32" s="22"/>
      <c r="M32" s="9"/>
      <c r="N32" s="10"/>
    </row>
    <row r="33" spans="1:14">
      <c r="A33" s="8" t="str">
        <f t="shared" si="0"/>
        <v/>
      </c>
      <c r="B33" s="9"/>
      <c r="C33" s="9"/>
      <c r="D33" s="9" t="e">
        <f>HLOOKUP(DocumentosTable[[#This Row],[Categoria]],Listas!$H$1:$Z$27,1,FALSE)</f>
        <v>#N/A</v>
      </c>
      <c r="E33" s="9"/>
      <c r="F33" s="22"/>
      <c r="G33" s="9"/>
      <c r="H33" s="9"/>
      <c r="I33" s="9"/>
      <c r="J33" s="9"/>
      <c r="K33" s="9"/>
      <c r="L33" s="22"/>
      <c r="M33" s="9"/>
      <c r="N33" s="10"/>
    </row>
    <row r="34" spans="1:14">
      <c r="A34" s="8" t="str">
        <f t="shared" si="0"/>
        <v/>
      </c>
      <c r="B34" s="9"/>
      <c r="C34" s="9"/>
      <c r="D34" s="9" t="e">
        <f>HLOOKUP(DocumentosTable[[#This Row],[Categoria]],Listas!$H$1:$Z$27,1,FALSE)</f>
        <v>#N/A</v>
      </c>
      <c r="E34" s="9"/>
      <c r="F34" s="22"/>
      <c r="G34" s="9"/>
      <c r="H34" s="9"/>
      <c r="I34" s="9"/>
      <c r="J34" s="9"/>
      <c r="K34" s="9"/>
      <c r="L34" s="22"/>
      <c r="M34" s="9"/>
      <c r="N34" s="10"/>
    </row>
    <row r="35" spans="1:14">
      <c r="A35" s="8" t="str">
        <f t="shared" si="0"/>
        <v/>
      </c>
      <c r="B35" s="9"/>
      <c r="C35" s="9"/>
      <c r="D35" s="9" t="e">
        <f>HLOOKUP(DocumentosTable[[#This Row],[Categoria]],Listas!$H$1:$Z$27,1,FALSE)</f>
        <v>#N/A</v>
      </c>
      <c r="E35" s="9"/>
      <c r="F35" s="22"/>
      <c r="G35" s="9"/>
      <c r="H35" s="9"/>
      <c r="I35" s="9"/>
      <c r="J35" s="9"/>
      <c r="K35" s="9"/>
      <c r="L35" s="22"/>
      <c r="M35" s="9"/>
      <c r="N35" s="10"/>
    </row>
    <row r="36" spans="1:14">
      <c r="A36" s="8" t="str">
        <f t="shared" si="0"/>
        <v/>
      </c>
      <c r="B36" s="9"/>
      <c r="C36" s="9"/>
      <c r="D36" s="9" t="e">
        <f>HLOOKUP(DocumentosTable[[#This Row],[Categoria]],Listas!$H$1:$Z$27,1,FALSE)</f>
        <v>#N/A</v>
      </c>
      <c r="E36" s="9"/>
      <c r="F36" s="22"/>
      <c r="G36" s="9"/>
      <c r="H36" s="9"/>
      <c r="I36" s="9"/>
      <c r="J36" s="9"/>
      <c r="K36" s="9"/>
      <c r="L36" s="22"/>
      <c r="M36" s="9"/>
      <c r="N36" s="10"/>
    </row>
    <row r="37" spans="1:14">
      <c r="A37" s="8" t="str">
        <f t="shared" ref="A37:A68" si="1">IF(B37="","","DOC-"&amp;TEXT(ROW()-4,"000"))</f>
        <v/>
      </c>
      <c r="B37" s="9"/>
      <c r="C37" s="9"/>
      <c r="D37" s="9" t="e">
        <f>HLOOKUP(DocumentosTable[[#This Row],[Categoria]],Listas!$H$1:$Z$27,1,FALSE)</f>
        <v>#N/A</v>
      </c>
      <c r="E37" s="9"/>
      <c r="F37" s="22"/>
      <c r="G37" s="9"/>
      <c r="H37" s="9"/>
      <c r="I37" s="9"/>
      <c r="J37" s="9"/>
      <c r="K37" s="9"/>
      <c r="L37" s="22"/>
      <c r="M37" s="9"/>
      <c r="N37" s="10"/>
    </row>
    <row r="38" spans="1:14">
      <c r="A38" s="8" t="str">
        <f t="shared" si="1"/>
        <v/>
      </c>
      <c r="B38" s="9"/>
      <c r="C38" s="9"/>
      <c r="D38" s="9" t="e">
        <f>HLOOKUP(DocumentosTable[[#This Row],[Categoria]],Listas!$H$1:$Z$27,1,FALSE)</f>
        <v>#N/A</v>
      </c>
      <c r="E38" s="9"/>
      <c r="F38" s="22"/>
      <c r="G38" s="9"/>
      <c r="H38" s="9"/>
      <c r="I38" s="9"/>
      <c r="J38" s="9"/>
      <c r="K38" s="9"/>
      <c r="L38" s="22"/>
      <c r="M38" s="9"/>
      <c r="N38" s="10"/>
    </row>
    <row r="39" spans="1:14">
      <c r="A39" s="8" t="str">
        <f t="shared" si="1"/>
        <v/>
      </c>
      <c r="B39" s="9"/>
      <c r="C39" s="9"/>
      <c r="D39" s="9" t="e">
        <f>HLOOKUP(DocumentosTable[[#This Row],[Categoria]],Listas!$H$1:$Z$27,1,FALSE)</f>
        <v>#N/A</v>
      </c>
      <c r="E39" s="9"/>
      <c r="F39" s="22"/>
      <c r="G39" s="9"/>
      <c r="H39" s="9"/>
      <c r="I39" s="9"/>
      <c r="J39" s="9"/>
      <c r="K39" s="9"/>
      <c r="L39" s="22"/>
      <c r="M39" s="9"/>
      <c r="N39" s="10"/>
    </row>
    <row r="40" spans="1:14">
      <c r="A40" s="8" t="str">
        <f t="shared" si="1"/>
        <v/>
      </c>
      <c r="B40" s="9"/>
      <c r="C40" s="9"/>
      <c r="D40" s="9" t="e">
        <f>HLOOKUP(DocumentosTable[[#This Row],[Categoria]],Listas!$H$1:$Z$27,1,FALSE)</f>
        <v>#N/A</v>
      </c>
      <c r="E40" s="9"/>
      <c r="F40" s="22"/>
      <c r="G40" s="9"/>
      <c r="H40" s="9"/>
      <c r="I40" s="9"/>
      <c r="J40" s="9"/>
      <c r="K40" s="9"/>
      <c r="L40" s="22"/>
      <c r="M40" s="9"/>
      <c r="N40" s="10"/>
    </row>
    <row r="41" spans="1:14">
      <c r="A41" s="8" t="str">
        <f t="shared" si="1"/>
        <v/>
      </c>
      <c r="B41" s="9"/>
      <c r="C41" s="9"/>
      <c r="D41" s="9" t="e">
        <f>HLOOKUP(DocumentosTable[[#This Row],[Categoria]],Listas!$H$1:$Z$27,1,FALSE)</f>
        <v>#N/A</v>
      </c>
      <c r="E41" s="9"/>
      <c r="F41" s="22"/>
      <c r="G41" s="9"/>
      <c r="H41" s="9"/>
      <c r="I41" s="9"/>
      <c r="J41" s="9"/>
      <c r="K41" s="9"/>
      <c r="L41" s="22"/>
      <c r="M41" s="9"/>
      <c r="N41" s="10"/>
    </row>
    <row r="42" spans="1:14">
      <c r="A42" s="8" t="str">
        <f t="shared" si="1"/>
        <v/>
      </c>
      <c r="B42" s="9"/>
      <c r="C42" s="9"/>
      <c r="D42" s="9" t="e">
        <f>HLOOKUP(DocumentosTable[[#This Row],[Categoria]],Listas!$H$1:$Z$27,1,FALSE)</f>
        <v>#N/A</v>
      </c>
      <c r="E42" s="9"/>
      <c r="F42" s="22"/>
      <c r="G42" s="9"/>
      <c r="H42" s="9"/>
      <c r="I42" s="9"/>
      <c r="J42" s="9"/>
      <c r="K42" s="9"/>
      <c r="L42" s="22"/>
      <c r="M42" s="9"/>
      <c r="N42" s="10"/>
    </row>
    <row r="43" spans="1:14">
      <c r="A43" s="8" t="str">
        <f t="shared" si="1"/>
        <v/>
      </c>
      <c r="B43" s="9"/>
      <c r="C43" s="9"/>
      <c r="D43" s="9" t="e">
        <f>HLOOKUP(DocumentosTable[[#This Row],[Categoria]],Listas!$H$1:$Z$27,1,FALSE)</f>
        <v>#N/A</v>
      </c>
      <c r="E43" s="9"/>
      <c r="F43" s="22"/>
      <c r="G43" s="9"/>
      <c r="H43" s="9"/>
      <c r="I43" s="9"/>
      <c r="J43" s="9"/>
      <c r="K43" s="9"/>
      <c r="L43" s="22"/>
      <c r="M43" s="9"/>
      <c r="N43" s="10"/>
    </row>
    <row r="44" spans="1:14">
      <c r="A44" s="8" t="str">
        <f t="shared" si="1"/>
        <v/>
      </c>
      <c r="B44" s="9"/>
      <c r="C44" s="9"/>
      <c r="D44" s="9" t="e">
        <f>HLOOKUP(DocumentosTable[[#This Row],[Categoria]],Listas!$H$1:$Z$27,1,FALSE)</f>
        <v>#N/A</v>
      </c>
      <c r="E44" s="9"/>
      <c r="F44" s="22"/>
      <c r="G44" s="9"/>
      <c r="H44" s="9"/>
      <c r="I44" s="9"/>
      <c r="J44" s="9"/>
      <c r="K44" s="9"/>
      <c r="L44" s="22"/>
      <c r="M44" s="9"/>
      <c r="N44" s="10"/>
    </row>
    <row r="45" spans="1:14">
      <c r="A45" s="8" t="str">
        <f t="shared" si="1"/>
        <v/>
      </c>
      <c r="B45" s="9"/>
      <c r="C45" s="9"/>
      <c r="D45" s="9" t="e">
        <f>HLOOKUP(DocumentosTable[[#This Row],[Categoria]],Listas!$H$1:$Z$27,1,FALSE)</f>
        <v>#N/A</v>
      </c>
      <c r="E45" s="9"/>
      <c r="F45" s="22"/>
      <c r="G45" s="9"/>
      <c r="H45" s="9"/>
      <c r="I45" s="9"/>
      <c r="J45" s="9"/>
      <c r="K45" s="9"/>
      <c r="L45" s="22"/>
      <c r="M45" s="9"/>
      <c r="N45" s="10"/>
    </row>
    <row r="46" spans="1:14">
      <c r="A46" s="8" t="str">
        <f t="shared" si="1"/>
        <v/>
      </c>
      <c r="B46" s="9"/>
      <c r="C46" s="9"/>
      <c r="D46" s="9" t="e">
        <f>HLOOKUP(DocumentosTable[[#This Row],[Categoria]],Listas!$H$1:$Z$27,1,FALSE)</f>
        <v>#N/A</v>
      </c>
      <c r="E46" s="9"/>
      <c r="F46" s="22"/>
      <c r="G46" s="9"/>
      <c r="H46" s="9"/>
      <c r="I46" s="9"/>
      <c r="J46" s="9"/>
      <c r="K46" s="9"/>
      <c r="L46" s="22"/>
      <c r="M46" s="9"/>
      <c r="N46" s="10"/>
    </row>
    <row r="47" spans="1:14">
      <c r="A47" s="8" t="str">
        <f t="shared" si="1"/>
        <v/>
      </c>
      <c r="B47" s="9"/>
      <c r="C47" s="9"/>
      <c r="D47" s="9" t="e">
        <f>HLOOKUP(DocumentosTable[[#This Row],[Categoria]],Listas!$H$1:$Z$27,1,FALSE)</f>
        <v>#N/A</v>
      </c>
      <c r="E47" s="9"/>
      <c r="F47" s="22"/>
      <c r="G47" s="9"/>
      <c r="H47" s="9"/>
      <c r="I47" s="9"/>
      <c r="J47" s="9"/>
      <c r="K47" s="9"/>
      <c r="L47" s="22"/>
      <c r="M47" s="9"/>
      <c r="N47" s="10"/>
    </row>
    <row r="48" spans="1:14">
      <c r="A48" s="8" t="str">
        <f t="shared" si="1"/>
        <v/>
      </c>
      <c r="B48" s="9"/>
      <c r="C48" s="9"/>
      <c r="D48" s="9" t="e">
        <f>HLOOKUP(DocumentosTable[[#This Row],[Categoria]],Listas!$H$1:$Z$27,1,FALSE)</f>
        <v>#N/A</v>
      </c>
      <c r="E48" s="9"/>
      <c r="F48" s="22"/>
      <c r="G48" s="9"/>
      <c r="H48" s="9"/>
      <c r="I48" s="9"/>
      <c r="J48" s="9"/>
      <c r="K48" s="9"/>
      <c r="L48" s="22"/>
      <c r="M48" s="9"/>
      <c r="N48" s="10"/>
    </row>
    <row r="49" spans="1:14">
      <c r="A49" s="8" t="str">
        <f t="shared" si="1"/>
        <v/>
      </c>
      <c r="B49" s="9"/>
      <c r="C49" s="9"/>
      <c r="D49" s="9" t="e">
        <f>HLOOKUP(DocumentosTable[[#This Row],[Categoria]],Listas!$H$1:$Z$27,1,FALSE)</f>
        <v>#N/A</v>
      </c>
      <c r="E49" s="9"/>
      <c r="F49" s="22"/>
      <c r="G49" s="9"/>
      <c r="H49" s="9"/>
      <c r="I49" s="9"/>
      <c r="J49" s="9"/>
      <c r="K49" s="9"/>
      <c r="L49" s="22"/>
      <c r="M49" s="9"/>
      <c r="N49" s="10"/>
    </row>
    <row r="50" spans="1:14">
      <c r="A50" s="8" t="str">
        <f t="shared" si="1"/>
        <v/>
      </c>
      <c r="B50" s="9"/>
      <c r="C50" s="9"/>
      <c r="D50" s="9" t="e">
        <f>HLOOKUP(DocumentosTable[[#This Row],[Categoria]],Listas!$H$1:$Z$27,1,FALSE)</f>
        <v>#N/A</v>
      </c>
      <c r="E50" s="9"/>
      <c r="F50" s="22"/>
      <c r="G50" s="9"/>
      <c r="H50" s="9"/>
      <c r="I50" s="9"/>
      <c r="J50" s="9"/>
      <c r="K50" s="9"/>
      <c r="L50" s="22"/>
      <c r="M50" s="9"/>
      <c r="N50" s="10"/>
    </row>
    <row r="51" spans="1:14">
      <c r="A51" s="8" t="str">
        <f t="shared" si="1"/>
        <v/>
      </c>
      <c r="B51" s="9"/>
      <c r="C51" s="9"/>
      <c r="D51" s="9" t="e">
        <f>HLOOKUP(DocumentosTable[[#This Row],[Categoria]],Listas!$H$1:$Z$27,1,FALSE)</f>
        <v>#N/A</v>
      </c>
      <c r="E51" s="9"/>
      <c r="F51" s="22"/>
      <c r="G51" s="9"/>
      <c r="H51" s="9"/>
      <c r="I51" s="9"/>
      <c r="J51" s="9"/>
      <c r="K51" s="9"/>
      <c r="L51" s="22"/>
      <c r="M51" s="9"/>
      <c r="N51" s="10"/>
    </row>
    <row r="52" spans="1:14">
      <c r="A52" s="8" t="str">
        <f t="shared" si="1"/>
        <v/>
      </c>
      <c r="B52" s="9"/>
      <c r="C52" s="9"/>
      <c r="D52" s="9" t="e">
        <f>HLOOKUP(DocumentosTable[[#This Row],[Categoria]],Listas!$H$1:$Z$27,1,FALSE)</f>
        <v>#N/A</v>
      </c>
      <c r="E52" s="9"/>
      <c r="F52" s="22"/>
      <c r="G52" s="9"/>
      <c r="H52" s="9"/>
      <c r="I52" s="9"/>
      <c r="J52" s="9"/>
      <c r="K52" s="9"/>
      <c r="L52" s="22"/>
      <c r="M52" s="9"/>
      <c r="N52" s="10"/>
    </row>
    <row r="53" spans="1:14">
      <c r="A53" s="8" t="str">
        <f t="shared" si="1"/>
        <v/>
      </c>
      <c r="B53" s="9"/>
      <c r="C53" s="9"/>
      <c r="D53" s="9" t="e">
        <f>HLOOKUP(DocumentosTable[[#This Row],[Categoria]],Listas!$H$1:$Z$27,1,FALSE)</f>
        <v>#N/A</v>
      </c>
      <c r="E53" s="9"/>
      <c r="F53" s="22"/>
      <c r="G53" s="9"/>
      <c r="H53" s="9"/>
      <c r="I53" s="9"/>
      <c r="J53" s="9"/>
      <c r="K53" s="9"/>
      <c r="L53" s="22"/>
      <c r="M53" s="9"/>
      <c r="N53" s="10"/>
    </row>
    <row r="54" spans="1:14">
      <c r="A54" s="8" t="str">
        <f t="shared" si="1"/>
        <v/>
      </c>
      <c r="B54" s="9"/>
      <c r="C54" s="9"/>
      <c r="D54" s="9" t="e">
        <f>HLOOKUP(DocumentosTable[[#This Row],[Categoria]],Listas!$H$1:$Z$27,1,FALSE)</f>
        <v>#N/A</v>
      </c>
      <c r="E54" s="9"/>
      <c r="F54" s="22"/>
      <c r="G54" s="9"/>
      <c r="H54" s="9"/>
      <c r="I54" s="9"/>
      <c r="J54" s="9"/>
      <c r="K54" s="9"/>
      <c r="L54" s="22"/>
      <c r="M54" s="9"/>
      <c r="N54" s="10"/>
    </row>
    <row r="55" spans="1:14">
      <c r="A55" s="8" t="str">
        <f t="shared" si="1"/>
        <v/>
      </c>
      <c r="B55" s="9"/>
      <c r="C55" s="9"/>
      <c r="D55" s="9" t="e">
        <f>HLOOKUP(DocumentosTable[[#This Row],[Categoria]],Listas!$H$1:$Z$27,1,FALSE)</f>
        <v>#N/A</v>
      </c>
      <c r="E55" s="9"/>
      <c r="F55" s="22"/>
      <c r="G55" s="9"/>
      <c r="H55" s="9"/>
      <c r="I55" s="9"/>
      <c r="J55" s="9"/>
      <c r="K55" s="9"/>
      <c r="L55" s="22"/>
      <c r="M55" s="9"/>
      <c r="N55" s="10"/>
    </row>
    <row r="56" spans="1:14">
      <c r="A56" s="8" t="str">
        <f t="shared" si="1"/>
        <v/>
      </c>
      <c r="B56" s="9"/>
      <c r="C56" s="9"/>
      <c r="D56" s="9" t="e">
        <f>HLOOKUP(DocumentosTable[[#This Row],[Categoria]],Listas!$H$1:$Z$27,1,FALSE)</f>
        <v>#N/A</v>
      </c>
      <c r="E56" s="9"/>
      <c r="F56" s="22"/>
      <c r="G56" s="9"/>
      <c r="H56" s="9"/>
      <c r="I56" s="9"/>
      <c r="J56" s="9"/>
      <c r="K56" s="9"/>
      <c r="L56" s="22"/>
      <c r="M56" s="9"/>
      <c r="N56" s="10"/>
    </row>
    <row r="57" spans="1:14">
      <c r="A57" s="8" t="str">
        <f t="shared" si="1"/>
        <v/>
      </c>
      <c r="B57" s="9"/>
      <c r="C57" s="9"/>
      <c r="D57" s="9" t="e">
        <f>HLOOKUP(DocumentosTable[[#This Row],[Categoria]],Listas!$H$1:$Z$27,1,FALSE)</f>
        <v>#N/A</v>
      </c>
      <c r="E57" s="9"/>
      <c r="F57" s="22"/>
      <c r="G57" s="9"/>
      <c r="H57" s="9"/>
      <c r="I57" s="9"/>
      <c r="J57" s="9"/>
      <c r="K57" s="9"/>
      <c r="L57" s="22"/>
      <c r="M57" s="9"/>
      <c r="N57" s="10"/>
    </row>
    <row r="58" spans="1:14">
      <c r="A58" s="8" t="str">
        <f t="shared" si="1"/>
        <v/>
      </c>
      <c r="B58" s="9"/>
      <c r="C58" s="9"/>
      <c r="D58" s="9" t="e">
        <f>HLOOKUP(DocumentosTable[[#This Row],[Categoria]],Listas!$H$1:$Z$27,1,FALSE)</f>
        <v>#N/A</v>
      </c>
      <c r="E58" s="9"/>
      <c r="F58" s="22"/>
      <c r="G58" s="9"/>
      <c r="H58" s="9"/>
      <c r="I58" s="9"/>
      <c r="J58" s="9"/>
      <c r="K58" s="9"/>
      <c r="L58" s="22"/>
      <c r="M58" s="9"/>
      <c r="N58" s="10"/>
    </row>
    <row r="59" spans="1:14">
      <c r="A59" s="8" t="str">
        <f t="shared" si="1"/>
        <v/>
      </c>
      <c r="B59" s="9"/>
      <c r="C59" s="9"/>
      <c r="D59" s="9" t="e">
        <f>HLOOKUP(DocumentosTable[[#This Row],[Categoria]],Listas!$H$1:$Z$27,1,FALSE)</f>
        <v>#N/A</v>
      </c>
      <c r="E59" s="9"/>
      <c r="F59" s="22"/>
      <c r="G59" s="9"/>
      <c r="H59" s="9"/>
      <c r="I59" s="9"/>
      <c r="J59" s="9"/>
      <c r="K59" s="9"/>
      <c r="L59" s="22"/>
      <c r="M59" s="9"/>
      <c r="N59" s="10"/>
    </row>
    <row r="60" spans="1:14">
      <c r="A60" s="8" t="str">
        <f t="shared" si="1"/>
        <v/>
      </c>
      <c r="B60" s="9"/>
      <c r="C60" s="9"/>
      <c r="D60" s="9" t="e">
        <f>HLOOKUP(DocumentosTable[[#This Row],[Categoria]],Listas!$H$1:$Z$27,1,FALSE)</f>
        <v>#N/A</v>
      </c>
      <c r="E60" s="9"/>
      <c r="F60" s="22"/>
      <c r="G60" s="9"/>
      <c r="H60" s="9"/>
      <c r="I60" s="9"/>
      <c r="J60" s="9"/>
      <c r="K60" s="9"/>
      <c r="L60" s="22"/>
      <c r="M60" s="9"/>
      <c r="N60" s="10"/>
    </row>
    <row r="61" spans="1:14">
      <c r="A61" s="8" t="str">
        <f t="shared" si="1"/>
        <v/>
      </c>
      <c r="B61" s="9"/>
      <c r="C61" s="9"/>
      <c r="D61" s="9" t="e">
        <f>HLOOKUP(DocumentosTable[[#This Row],[Categoria]],Listas!$H$1:$Z$27,1,FALSE)</f>
        <v>#N/A</v>
      </c>
      <c r="E61" s="9"/>
      <c r="F61" s="22"/>
      <c r="G61" s="9"/>
      <c r="H61" s="9"/>
      <c r="I61" s="9"/>
      <c r="J61" s="9"/>
      <c r="K61" s="9"/>
      <c r="L61" s="22"/>
      <c r="M61" s="9"/>
      <c r="N61" s="10"/>
    </row>
    <row r="62" spans="1:14">
      <c r="A62" s="8" t="str">
        <f t="shared" si="1"/>
        <v/>
      </c>
      <c r="B62" s="9"/>
      <c r="C62" s="9"/>
      <c r="D62" s="9" t="e">
        <f>HLOOKUP(DocumentosTable[[#This Row],[Categoria]],Listas!$H$1:$Z$27,1,FALSE)</f>
        <v>#N/A</v>
      </c>
      <c r="E62" s="9"/>
      <c r="F62" s="22"/>
      <c r="G62" s="9"/>
      <c r="H62" s="9"/>
      <c r="I62" s="9"/>
      <c r="J62" s="9"/>
      <c r="K62" s="9"/>
      <c r="L62" s="22"/>
      <c r="M62" s="9"/>
      <c r="N62" s="10"/>
    </row>
    <row r="63" spans="1:14">
      <c r="A63" s="8" t="str">
        <f t="shared" si="1"/>
        <v/>
      </c>
      <c r="B63" s="9"/>
      <c r="C63" s="9"/>
      <c r="D63" s="9" t="e">
        <f>HLOOKUP(DocumentosTable[[#This Row],[Categoria]],Listas!$H$1:$Z$27,1,FALSE)</f>
        <v>#N/A</v>
      </c>
      <c r="E63" s="9"/>
      <c r="F63" s="22"/>
      <c r="G63" s="9"/>
      <c r="H63" s="9"/>
      <c r="I63" s="9"/>
      <c r="J63" s="9"/>
      <c r="K63" s="9"/>
      <c r="L63" s="22"/>
      <c r="M63" s="9"/>
      <c r="N63" s="10"/>
    </row>
    <row r="64" spans="1:14">
      <c r="A64" s="8" t="str">
        <f t="shared" si="1"/>
        <v/>
      </c>
      <c r="B64" s="9"/>
      <c r="C64" s="9"/>
      <c r="D64" s="9" t="e">
        <f>HLOOKUP(DocumentosTable[[#This Row],[Categoria]],Listas!$H$1:$Z$27,1,FALSE)</f>
        <v>#N/A</v>
      </c>
      <c r="E64" s="9"/>
      <c r="F64" s="22"/>
      <c r="G64" s="9"/>
      <c r="H64" s="9"/>
      <c r="I64" s="9"/>
      <c r="J64" s="9"/>
      <c r="K64" s="9"/>
      <c r="L64" s="22"/>
      <c r="M64" s="9"/>
      <c r="N64" s="10"/>
    </row>
    <row r="65" spans="1:14">
      <c r="A65" s="8" t="str">
        <f t="shared" si="1"/>
        <v/>
      </c>
      <c r="B65" s="9"/>
      <c r="C65" s="9"/>
      <c r="D65" s="9" t="e">
        <f>HLOOKUP(DocumentosTable[[#This Row],[Categoria]],Listas!$H$1:$Z$27,1,FALSE)</f>
        <v>#N/A</v>
      </c>
      <c r="E65" s="9"/>
      <c r="F65" s="22"/>
      <c r="G65" s="9"/>
      <c r="H65" s="9"/>
      <c r="I65" s="9"/>
      <c r="J65" s="9"/>
      <c r="K65" s="9"/>
      <c r="L65" s="22"/>
      <c r="M65" s="9"/>
      <c r="N65" s="10"/>
    </row>
    <row r="66" spans="1:14">
      <c r="A66" s="8" t="str">
        <f t="shared" si="1"/>
        <v/>
      </c>
      <c r="B66" s="9"/>
      <c r="C66" s="9"/>
      <c r="D66" s="9" t="e">
        <f>HLOOKUP(DocumentosTable[[#This Row],[Categoria]],Listas!$H$1:$Z$27,1,FALSE)</f>
        <v>#N/A</v>
      </c>
      <c r="E66" s="9"/>
      <c r="F66" s="22"/>
      <c r="G66" s="9"/>
      <c r="H66" s="9"/>
      <c r="I66" s="9"/>
      <c r="J66" s="9"/>
      <c r="K66" s="9"/>
      <c r="L66" s="22"/>
      <c r="M66" s="9"/>
      <c r="N66" s="10"/>
    </row>
    <row r="67" spans="1:14">
      <c r="A67" s="8" t="str">
        <f t="shared" si="1"/>
        <v/>
      </c>
      <c r="B67" s="9"/>
      <c r="C67" s="9"/>
      <c r="D67" s="9" t="e">
        <f>HLOOKUP(DocumentosTable[[#This Row],[Categoria]],Listas!$H$1:$Z$27,1,FALSE)</f>
        <v>#N/A</v>
      </c>
      <c r="E67" s="9"/>
      <c r="F67" s="22"/>
      <c r="G67" s="9"/>
      <c r="H67" s="9"/>
      <c r="I67" s="9"/>
      <c r="J67" s="9"/>
      <c r="K67" s="9"/>
      <c r="L67" s="22"/>
      <c r="M67" s="9"/>
      <c r="N67" s="10"/>
    </row>
    <row r="68" spans="1:14">
      <c r="A68" s="8" t="str">
        <f t="shared" si="1"/>
        <v/>
      </c>
      <c r="B68" s="9"/>
      <c r="C68" s="9"/>
      <c r="D68" s="9" t="e">
        <f>HLOOKUP(DocumentosTable[[#This Row],[Categoria]],Listas!$H$1:$Z$27,1,FALSE)</f>
        <v>#N/A</v>
      </c>
      <c r="E68" s="9"/>
      <c r="F68" s="22"/>
      <c r="G68" s="9"/>
      <c r="H68" s="9"/>
      <c r="I68" s="9"/>
      <c r="J68" s="9"/>
      <c r="K68" s="9"/>
      <c r="L68" s="22"/>
      <c r="M68" s="9"/>
      <c r="N68" s="10"/>
    </row>
    <row r="69" spans="1:14">
      <c r="A69" s="8" t="str">
        <f t="shared" ref="A69:A100" si="2">IF(B69="","","DOC-"&amp;TEXT(ROW()-4,"000"))</f>
        <v/>
      </c>
      <c r="B69" s="9"/>
      <c r="C69" s="9"/>
      <c r="D69" s="9" t="e">
        <f>HLOOKUP(DocumentosTable[[#This Row],[Categoria]],Listas!$H$1:$Z$27,1,FALSE)</f>
        <v>#N/A</v>
      </c>
      <c r="E69" s="9"/>
      <c r="F69" s="22"/>
      <c r="G69" s="9"/>
      <c r="H69" s="9"/>
      <c r="I69" s="9"/>
      <c r="J69" s="9"/>
      <c r="K69" s="9"/>
      <c r="L69" s="22"/>
      <c r="M69" s="9"/>
      <c r="N69" s="10"/>
    </row>
    <row r="70" spans="1:14">
      <c r="A70" s="8" t="str">
        <f t="shared" si="2"/>
        <v/>
      </c>
      <c r="B70" s="9"/>
      <c r="C70" s="9"/>
      <c r="D70" s="9" t="e">
        <f>HLOOKUP(DocumentosTable[[#This Row],[Categoria]],Listas!$H$1:$Z$27,1,FALSE)</f>
        <v>#N/A</v>
      </c>
      <c r="E70" s="9"/>
      <c r="F70" s="22"/>
      <c r="G70" s="9"/>
      <c r="H70" s="9"/>
      <c r="I70" s="9"/>
      <c r="J70" s="9"/>
      <c r="K70" s="9"/>
      <c r="L70" s="22"/>
      <c r="M70" s="9"/>
      <c r="N70" s="10"/>
    </row>
    <row r="71" spans="1:14">
      <c r="A71" s="8" t="str">
        <f t="shared" si="2"/>
        <v/>
      </c>
      <c r="B71" s="9"/>
      <c r="C71" s="9"/>
      <c r="D71" s="9" t="e">
        <f>HLOOKUP(DocumentosTable[[#This Row],[Categoria]],Listas!$H$1:$Z$27,1,FALSE)</f>
        <v>#N/A</v>
      </c>
      <c r="E71" s="9"/>
      <c r="F71" s="22"/>
      <c r="G71" s="9"/>
      <c r="H71" s="9"/>
      <c r="I71" s="9"/>
      <c r="J71" s="9"/>
      <c r="K71" s="9"/>
      <c r="L71" s="22"/>
      <c r="M71" s="9"/>
      <c r="N71" s="10"/>
    </row>
    <row r="72" spans="1:14">
      <c r="A72" s="8" t="str">
        <f t="shared" si="2"/>
        <v/>
      </c>
      <c r="B72" s="9"/>
      <c r="C72" s="9"/>
      <c r="D72" s="9" t="e">
        <f>HLOOKUP(DocumentosTable[[#This Row],[Categoria]],Listas!$H$1:$Z$27,1,FALSE)</f>
        <v>#N/A</v>
      </c>
      <c r="E72" s="9"/>
      <c r="F72" s="22"/>
      <c r="G72" s="9"/>
      <c r="H72" s="9"/>
      <c r="I72" s="9"/>
      <c r="J72" s="9"/>
      <c r="K72" s="9"/>
      <c r="L72" s="22"/>
      <c r="M72" s="9"/>
      <c r="N72" s="10"/>
    </row>
    <row r="73" spans="1:14">
      <c r="A73" s="8" t="str">
        <f t="shared" si="2"/>
        <v/>
      </c>
      <c r="B73" s="9"/>
      <c r="C73" s="9"/>
      <c r="D73" s="9" t="e">
        <f>HLOOKUP(DocumentosTable[[#This Row],[Categoria]],Listas!$H$1:$Z$27,1,FALSE)</f>
        <v>#N/A</v>
      </c>
      <c r="E73" s="9"/>
      <c r="F73" s="22"/>
      <c r="G73" s="9"/>
      <c r="H73" s="9"/>
      <c r="I73" s="9"/>
      <c r="J73" s="9"/>
      <c r="K73" s="9"/>
      <c r="L73" s="22"/>
      <c r="M73" s="9"/>
      <c r="N73" s="10"/>
    </row>
    <row r="74" spans="1:14">
      <c r="A74" s="8" t="str">
        <f t="shared" si="2"/>
        <v/>
      </c>
      <c r="B74" s="9"/>
      <c r="C74" s="9"/>
      <c r="D74" s="9" t="e">
        <f>HLOOKUP(DocumentosTable[[#This Row],[Categoria]],Listas!$H$1:$Z$27,1,FALSE)</f>
        <v>#N/A</v>
      </c>
      <c r="E74" s="9"/>
      <c r="F74" s="22"/>
      <c r="G74" s="9"/>
      <c r="H74" s="9"/>
      <c r="I74" s="9"/>
      <c r="J74" s="9"/>
      <c r="K74" s="9"/>
      <c r="L74" s="22"/>
      <c r="M74" s="9"/>
      <c r="N74" s="10"/>
    </row>
    <row r="75" spans="1:14">
      <c r="A75" s="8" t="str">
        <f t="shared" si="2"/>
        <v/>
      </c>
      <c r="B75" s="9"/>
      <c r="C75" s="9"/>
      <c r="D75" s="9" t="e">
        <f>HLOOKUP(DocumentosTable[[#This Row],[Categoria]],Listas!$H$1:$Z$27,1,FALSE)</f>
        <v>#N/A</v>
      </c>
      <c r="E75" s="9"/>
      <c r="F75" s="22"/>
      <c r="G75" s="9"/>
      <c r="H75" s="9"/>
      <c r="I75" s="9"/>
      <c r="J75" s="9"/>
      <c r="K75" s="9"/>
      <c r="L75" s="22"/>
      <c r="M75" s="9"/>
      <c r="N75" s="10"/>
    </row>
    <row r="76" spans="1:14">
      <c r="A76" s="8" t="str">
        <f t="shared" si="2"/>
        <v/>
      </c>
      <c r="B76" s="9"/>
      <c r="C76" s="9"/>
      <c r="D76" s="9" t="e">
        <f>HLOOKUP(DocumentosTable[[#This Row],[Categoria]],Listas!$H$1:$Z$27,1,FALSE)</f>
        <v>#N/A</v>
      </c>
      <c r="E76" s="9"/>
      <c r="F76" s="22"/>
      <c r="G76" s="9"/>
      <c r="H76" s="9"/>
      <c r="I76" s="9"/>
      <c r="J76" s="9"/>
      <c r="K76" s="9"/>
      <c r="L76" s="22"/>
      <c r="M76" s="9"/>
      <c r="N76" s="10"/>
    </row>
    <row r="77" spans="1:14">
      <c r="A77" s="8" t="str">
        <f t="shared" si="2"/>
        <v/>
      </c>
      <c r="B77" s="9"/>
      <c r="C77" s="9"/>
      <c r="D77" s="9" t="e">
        <f>HLOOKUP(DocumentosTable[[#This Row],[Categoria]],Listas!$H$1:$Z$27,1,FALSE)</f>
        <v>#N/A</v>
      </c>
      <c r="E77" s="9"/>
      <c r="F77" s="22"/>
      <c r="G77" s="9"/>
      <c r="H77" s="9"/>
      <c r="I77" s="9"/>
      <c r="J77" s="9"/>
      <c r="K77" s="9"/>
      <c r="L77" s="22"/>
      <c r="M77" s="9"/>
      <c r="N77" s="10"/>
    </row>
    <row r="78" spans="1:14">
      <c r="A78" s="8" t="str">
        <f t="shared" si="2"/>
        <v/>
      </c>
      <c r="B78" s="9"/>
      <c r="C78" s="9"/>
      <c r="D78" s="9" t="e">
        <f>HLOOKUP(DocumentosTable[[#This Row],[Categoria]],Listas!$H$1:$Z$27,1,FALSE)</f>
        <v>#N/A</v>
      </c>
      <c r="E78" s="9"/>
      <c r="F78" s="22"/>
      <c r="G78" s="9"/>
      <c r="H78" s="9"/>
      <c r="I78" s="9"/>
      <c r="J78" s="9"/>
      <c r="K78" s="9"/>
      <c r="L78" s="22"/>
      <c r="M78" s="9"/>
      <c r="N78" s="10"/>
    </row>
    <row r="79" spans="1:14">
      <c r="A79" s="8" t="str">
        <f t="shared" si="2"/>
        <v/>
      </c>
      <c r="B79" s="9"/>
      <c r="C79" s="9"/>
      <c r="D79" s="9" t="e">
        <f>HLOOKUP(DocumentosTable[[#This Row],[Categoria]],Listas!$H$1:$Z$27,1,FALSE)</f>
        <v>#N/A</v>
      </c>
      <c r="E79" s="9"/>
      <c r="F79" s="22"/>
      <c r="G79" s="9"/>
      <c r="H79" s="9"/>
      <c r="I79" s="9"/>
      <c r="J79" s="9"/>
      <c r="K79" s="9"/>
      <c r="L79" s="22"/>
      <c r="M79" s="9"/>
      <c r="N79" s="10"/>
    </row>
    <row r="80" spans="1:14">
      <c r="A80" s="8" t="str">
        <f t="shared" si="2"/>
        <v/>
      </c>
      <c r="B80" s="9"/>
      <c r="C80" s="9"/>
      <c r="D80" s="9" t="e">
        <f>HLOOKUP(DocumentosTable[[#This Row],[Categoria]],Listas!$H$1:$Z$27,1,FALSE)</f>
        <v>#N/A</v>
      </c>
      <c r="E80" s="9"/>
      <c r="F80" s="22"/>
      <c r="G80" s="9"/>
      <c r="H80" s="9"/>
      <c r="I80" s="9"/>
      <c r="J80" s="9"/>
      <c r="K80" s="9"/>
      <c r="L80" s="22"/>
      <c r="M80" s="9"/>
      <c r="N80" s="10"/>
    </row>
    <row r="81" spans="1:14">
      <c r="A81" s="8" t="str">
        <f t="shared" si="2"/>
        <v/>
      </c>
      <c r="B81" s="9"/>
      <c r="C81" s="9"/>
      <c r="D81" s="9" t="e">
        <f>HLOOKUP(DocumentosTable[[#This Row],[Categoria]],Listas!$H$1:$Z$27,1,FALSE)</f>
        <v>#N/A</v>
      </c>
      <c r="E81" s="9"/>
      <c r="F81" s="22"/>
      <c r="G81" s="9"/>
      <c r="H81" s="9"/>
      <c r="I81" s="9"/>
      <c r="J81" s="9"/>
      <c r="K81" s="9"/>
      <c r="L81" s="22"/>
      <c r="M81" s="9"/>
      <c r="N81" s="10"/>
    </row>
    <row r="82" spans="1:14">
      <c r="A82" s="8" t="str">
        <f t="shared" si="2"/>
        <v/>
      </c>
      <c r="B82" s="9"/>
      <c r="C82" s="9"/>
      <c r="D82" s="9" t="e">
        <f>HLOOKUP(DocumentosTable[[#This Row],[Categoria]],Listas!$H$1:$Z$27,1,FALSE)</f>
        <v>#N/A</v>
      </c>
      <c r="E82" s="9"/>
      <c r="F82" s="22"/>
      <c r="G82" s="9"/>
      <c r="H82" s="9"/>
      <c r="I82" s="9"/>
      <c r="J82" s="9"/>
      <c r="K82" s="9"/>
      <c r="L82" s="22"/>
      <c r="M82" s="9"/>
      <c r="N82" s="10"/>
    </row>
    <row r="83" spans="1:14">
      <c r="A83" s="8" t="str">
        <f t="shared" si="2"/>
        <v/>
      </c>
      <c r="B83" s="9"/>
      <c r="C83" s="9"/>
      <c r="D83" s="9" t="e">
        <f>HLOOKUP(DocumentosTable[[#This Row],[Categoria]],Listas!$H$1:$Z$27,1,FALSE)</f>
        <v>#N/A</v>
      </c>
      <c r="E83" s="9"/>
      <c r="F83" s="22"/>
      <c r="G83" s="9"/>
      <c r="H83" s="9"/>
      <c r="I83" s="9"/>
      <c r="J83" s="9"/>
      <c r="K83" s="9"/>
      <c r="L83" s="22"/>
      <c r="M83" s="9"/>
      <c r="N83" s="10"/>
    </row>
    <row r="84" spans="1:14">
      <c r="A84" s="8" t="str">
        <f t="shared" si="2"/>
        <v/>
      </c>
      <c r="B84" s="9"/>
      <c r="C84" s="9"/>
      <c r="D84" s="9" t="e">
        <f>HLOOKUP(DocumentosTable[[#This Row],[Categoria]],Listas!$H$1:$Z$27,1,FALSE)</f>
        <v>#N/A</v>
      </c>
      <c r="E84" s="9"/>
      <c r="F84" s="22"/>
      <c r="G84" s="9"/>
      <c r="H84" s="9"/>
      <c r="I84" s="9"/>
      <c r="J84" s="9"/>
      <c r="K84" s="9"/>
      <c r="L84" s="22"/>
      <c r="M84" s="9"/>
      <c r="N84" s="10"/>
    </row>
    <row r="85" spans="1:14">
      <c r="A85" s="8" t="str">
        <f t="shared" si="2"/>
        <v/>
      </c>
      <c r="B85" s="9"/>
      <c r="C85" s="9"/>
      <c r="D85" s="9" t="e">
        <f>HLOOKUP(DocumentosTable[[#This Row],[Categoria]],Listas!$H$1:$Z$27,1,FALSE)</f>
        <v>#N/A</v>
      </c>
      <c r="E85" s="9"/>
      <c r="F85" s="22"/>
      <c r="G85" s="9"/>
      <c r="H85" s="9"/>
      <c r="I85" s="9"/>
      <c r="J85" s="9"/>
      <c r="K85" s="9"/>
      <c r="L85" s="22"/>
      <c r="M85" s="9"/>
      <c r="N85" s="10"/>
    </row>
    <row r="86" spans="1:14">
      <c r="A86" s="8" t="str">
        <f t="shared" si="2"/>
        <v/>
      </c>
      <c r="B86" s="9"/>
      <c r="C86" s="9"/>
      <c r="D86" s="9" t="e">
        <f>HLOOKUP(DocumentosTable[[#This Row],[Categoria]],Listas!$H$1:$Z$27,1,FALSE)</f>
        <v>#N/A</v>
      </c>
      <c r="E86" s="9"/>
      <c r="F86" s="22"/>
      <c r="G86" s="9"/>
      <c r="H86" s="9"/>
      <c r="I86" s="9"/>
      <c r="J86" s="9"/>
      <c r="K86" s="9"/>
      <c r="L86" s="22"/>
      <c r="M86" s="9"/>
      <c r="N86" s="10"/>
    </row>
    <row r="87" spans="1:14">
      <c r="A87" s="8" t="str">
        <f t="shared" si="2"/>
        <v/>
      </c>
      <c r="B87" s="9"/>
      <c r="C87" s="9"/>
      <c r="D87" s="9" t="e">
        <f>HLOOKUP(DocumentosTable[[#This Row],[Categoria]],Listas!$H$1:$Z$27,1,FALSE)</f>
        <v>#N/A</v>
      </c>
      <c r="E87" s="9"/>
      <c r="F87" s="22"/>
      <c r="G87" s="9"/>
      <c r="H87" s="9"/>
      <c r="I87" s="9"/>
      <c r="J87" s="9"/>
      <c r="K87" s="9"/>
      <c r="L87" s="22"/>
      <c r="M87" s="9"/>
      <c r="N87" s="10"/>
    </row>
    <row r="88" spans="1:14">
      <c r="A88" s="8" t="str">
        <f t="shared" si="2"/>
        <v/>
      </c>
      <c r="B88" s="9"/>
      <c r="C88" s="9"/>
      <c r="D88" s="9" t="e">
        <f>HLOOKUP(DocumentosTable[[#This Row],[Categoria]],Listas!$H$1:$Z$27,1,FALSE)</f>
        <v>#N/A</v>
      </c>
      <c r="E88" s="9"/>
      <c r="F88" s="22"/>
      <c r="G88" s="9"/>
      <c r="H88" s="9"/>
      <c r="I88" s="9"/>
      <c r="J88" s="9"/>
      <c r="K88" s="9"/>
      <c r="L88" s="22"/>
      <c r="M88" s="9"/>
      <c r="N88" s="10"/>
    </row>
    <row r="89" spans="1:14">
      <c r="A89" s="8" t="str">
        <f t="shared" si="2"/>
        <v/>
      </c>
      <c r="B89" s="9"/>
      <c r="C89" s="9"/>
      <c r="D89" s="9" t="e">
        <f>HLOOKUP(DocumentosTable[[#This Row],[Categoria]],Listas!$H$1:$Z$27,1,FALSE)</f>
        <v>#N/A</v>
      </c>
      <c r="E89" s="9"/>
      <c r="F89" s="22"/>
      <c r="G89" s="9"/>
      <c r="H89" s="9"/>
      <c r="I89" s="9"/>
      <c r="J89" s="9"/>
      <c r="K89" s="9"/>
      <c r="L89" s="22"/>
      <c r="M89" s="9"/>
      <c r="N89" s="10"/>
    </row>
    <row r="90" spans="1:14">
      <c r="A90" s="8" t="str">
        <f t="shared" si="2"/>
        <v/>
      </c>
      <c r="B90" s="9"/>
      <c r="C90" s="9"/>
      <c r="D90" s="9" t="e">
        <f>HLOOKUP(DocumentosTable[[#This Row],[Categoria]],Listas!$H$1:$Z$27,1,FALSE)</f>
        <v>#N/A</v>
      </c>
      <c r="E90" s="9"/>
      <c r="F90" s="22"/>
      <c r="G90" s="9"/>
      <c r="H90" s="9"/>
      <c r="I90" s="9"/>
      <c r="J90" s="9"/>
      <c r="K90" s="9"/>
      <c r="L90" s="22"/>
      <c r="M90" s="9"/>
      <c r="N90" s="10"/>
    </row>
    <row r="91" spans="1:14">
      <c r="A91" s="8" t="str">
        <f t="shared" si="2"/>
        <v/>
      </c>
      <c r="B91" s="9"/>
      <c r="C91" s="9"/>
      <c r="D91" s="9" t="e">
        <f>HLOOKUP(DocumentosTable[[#This Row],[Categoria]],Listas!$H$1:$Z$27,1,FALSE)</f>
        <v>#N/A</v>
      </c>
      <c r="E91" s="9"/>
      <c r="F91" s="22"/>
      <c r="G91" s="9"/>
      <c r="H91" s="9"/>
      <c r="I91" s="9"/>
      <c r="J91" s="9"/>
      <c r="K91" s="9"/>
      <c r="L91" s="22"/>
      <c r="M91" s="9"/>
      <c r="N91" s="10"/>
    </row>
    <row r="92" spans="1:14">
      <c r="A92" s="8" t="str">
        <f t="shared" si="2"/>
        <v/>
      </c>
      <c r="B92" s="9"/>
      <c r="C92" s="9"/>
      <c r="D92" s="9" t="e">
        <f>HLOOKUP(DocumentosTable[[#This Row],[Categoria]],Listas!$H$1:$Z$27,1,FALSE)</f>
        <v>#N/A</v>
      </c>
      <c r="E92" s="9"/>
      <c r="F92" s="22"/>
      <c r="G92" s="9"/>
      <c r="H92" s="9"/>
      <c r="I92" s="9"/>
      <c r="J92" s="9"/>
      <c r="K92" s="9"/>
      <c r="L92" s="22"/>
      <c r="M92" s="9"/>
      <c r="N92" s="10"/>
    </row>
    <row r="93" spans="1:14">
      <c r="A93" s="8" t="str">
        <f t="shared" si="2"/>
        <v/>
      </c>
      <c r="B93" s="9"/>
      <c r="C93" s="9"/>
      <c r="D93" s="9" t="e">
        <f>HLOOKUP(DocumentosTable[[#This Row],[Categoria]],Listas!$H$1:$Z$27,1,FALSE)</f>
        <v>#N/A</v>
      </c>
      <c r="E93" s="9"/>
      <c r="F93" s="22"/>
      <c r="G93" s="9"/>
      <c r="H93" s="9"/>
      <c r="I93" s="9"/>
      <c r="J93" s="9"/>
      <c r="K93" s="9"/>
      <c r="L93" s="22"/>
      <c r="M93" s="9"/>
      <c r="N93" s="10"/>
    </row>
    <row r="94" spans="1:14">
      <c r="A94" s="8" t="str">
        <f t="shared" si="2"/>
        <v/>
      </c>
      <c r="B94" s="9"/>
      <c r="C94" s="9"/>
      <c r="D94" s="9" t="e">
        <f>HLOOKUP(DocumentosTable[[#This Row],[Categoria]],Listas!$H$1:$Z$27,1,FALSE)</f>
        <v>#N/A</v>
      </c>
      <c r="E94" s="9"/>
      <c r="F94" s="22"/>
      <c r="G94" s="9"/>
      <c r="H94" s="9"/>
      <c r="I94" s="9"/>
      <c r="J94" s="9"/>
      <c r="K94" s="9"/>
      <c r="L94" s="22"/>
      <c r="M94" s="9"/>
      <c r="N94" s="10"/>
    </row>
    <row r="95" spans="1:14">
      <c r="A95" s="8" t="str">
        <f t="shared" si="2"/>
        <v/>
      </c>
      <c r="B95" s="9"/>
      <c r="C95" s="9"/>
      <c r="D95" s="9" t="e">
        <f>HLOOKUP(DocumentosTable[[#This Row],[Categoria]],Listas!$H$1:$Z$27,1,FALSE)</f>
        <v>#N/A</v>
      </c>
      <c r="E95" s="9"/>
      <c r="F95" s="22"/>
      <c r="G95" s="9"/>
      <c r="H95" s="9"/>
      <c r="I95" s="9"/>
      <c r="J95" s="9"/>
      <c r="K95" s="9"/>
      <c r="L95" s="22"/>
      <c r="M95" s="9"/>
      <c r="N95" s="10"/>
    </row>
    <row r="96" spans="1:14">
      <c r="A96" s="8" t="str">
        <f t="shared" si="2"/>
        <v/>
      </c>
      <c r="B96" s="9"/>
      <c r="C96" s="9"/>
      <c r="D96" s="9" t="e">
        <f>HLOOKUP(DocumentosTable[[#This Row],[Categoria]],Listas!$H$1:$Z$27,1,FALSE)</f>
        <v>#N/A</v>
      </c>
      <c r="E96" s="9"/>
      <c r="F96" s="22"/>
      <c r="G96" s="9"/>
      <c r="H96" s="9"/>
      <c r="I96" s="9"/>
      <c r="J96" s="9"/>
      <c r="K96" s="9"/>
      <c r="L96" s="22"/>
      <c r="M96" s="9"/>
      <c r="N96" s="10"/>
    </row>
    <row r="97" spans="1:14">
      <c r="A97" s="8" t="str">
        <f t="shared" si="2"/>
        <v/>
      </c>
      <c r="B97" s="9"/>
      <c r="C97" s="9"/>
      <c r="D97" s="9" t="e">
        <f>HLOOKUP(DocumentosTable[[#This Row],[Categoria]],Listas!$H$1:$Z$27,1,FALSE)</f>
        <v>#N/A</v>
      </c>
      <c r="E97" s="9"/>
      <c r="F97" s="22"/>
      <c r="G97" s="9"/>
      <c r="H97" s="9"/>
      <c r="I97" s="9"/>
      <c r="J97" s="9"/>
      <c r="K97" s="9"/>
      <c r="L97" s="22"/>
      <c r="M97" s="9"/>
      <c r="N97" s="10"/>
    </row>
    <row r="98" spans="1:14">
      <c r="A98" s="8" t="str">
        <f t="shared" si="2"/>
        <v/>
      </c>
      <c r="B98" s="9"/>
      <c r="C98" s="9"/>
      <c r="D98" s="9" t="e">
        <f>HLOOKUP(DocumentosTable[[#This Row],[Categoria]],Listas!$H$1:$Z$27,1,FALSE)</f>
        <v>#N/A</v>
      </c>
      <c r="E98" s="9"/>
      <c r="F98" s="22"/>
      <c r="G98" s="9"/>
      <c r="H98" s="9"/>
      <c r="I98" s="9"/>
      <c r="J98" s="9"/>
      <c r="K98" s="9"/>
      <c r="L98" s="22"/>
      <c r="M98" s="9"/>
      <c r="N98" s="10"/>
    </row>
    <row r="99" spans="1:14">
      <c r="A99" s="8" t="str">
        <f t="shared" si="2"/>
        <v/>
      </c>
      <c r="B99" s="9"/>
      <c r="C99" s="9"/>
      <c r="D99" s="9" t="e">
        <f>HLOOKUP(DocumentosTable[[#This Row],[Categoria]],Listas!$H$1:$Z$27,1,FALSE)</f>
        <v>#N/A</v>
      </c>
      <c r="E99" s="9"/>
      <c r="F99" s="22"/>
      <c r="G99" s="9"/>
      <c r="H99" s="9"/>
      <c r="I99" s="9"/>
      <c r="J99" s="9"/>
      <c r="K99" s="9"/>
      <c r="L99" s="22"/>
      <c r="M99" s="9"/>
      <c r="N99" s="10"/>
    </row>
    <row r="100" spans="1:14">
      <c r="A100" s="8" t="str">
        <f t="shared" si="2"/>
        <v/>
      </c>
      <c r="B100" s="9"/>
      <c r="C100" s="9"/>
      <c r="D100" s="9" t="e">
        <f>HLOOKUP(DocumentosTable[[#This Row],[Categoria]],Listas!$H$1:$Z$27,1,FALSE)</f>
        <v>#N/A</v>
      </c>
      <c r="E100" s="9"/>
      <c r="F100" s="22"/>
      <c r="G100" s="9"/>
      <c r="H100" s="9"/>
      <c r="I100" s="9"/>
      <c r="J100" s="9"/>
      <c r="K100" s="9"/>
      <c r="L100" s="22"/>
      <c r="M100" s="9"/>
      <c r="N100" s="10"/>
    </row>
    <row r="101" spans="1:14">
      <c r="A101" s="8" t="str">
        <f t="shared" ref="A101:A104" si="3">IF(B101="","","DOC-"&amp;TEXT(ROW()-4,"000"))</f>
        <v/>
      </c>
      <c r="B101" s="9"/>
      <c r="C101" s="9"/>
      <c r="D101" s="9" t="e">
        <f>HLOOKUP(DocumentosTable[[#This Row],[Categoria]],Listas!$H$1:$Z$27,1,FALSE)</f>
        <v>#N/A</v>
      </c>
      <c r="E101" s="9"/>
      <c r="F101" s="22"/>
      <c r="G101" s="9"/>
      <c r="H101" s="9"/>
      <c r="I101" s="9"/>
      <c r="J101" s="9"/>
      <c r="K101" s="9"/>
      <c r="L101" s="22"/>
      <c r="M101" s="9"/>
      <c r="N101" s="10"/>
    </row>
    <row r="102" spans="1:14">
      <c r="A102" s="8" t="str">
        <f t="shared" si="3"/>
        <v/>
      </c>
      <c r="B102" s="9"/>
      <c r="C102" s="9"/>
      <c r="D102" s="9" t="e">
        <f>HLOOKUP(DocumentosTable[[#This Row],[Categoria]],Listas!$H$1:$Z$27,1,FALSE)</f>
        <v>#N/A</v>
      </c>
      <c r="E102" s="9"/>
      <c r="F102" s="22"/>
      <c r="G102" s="9"/>
      <c r="H102" s="9"/>
      <c r="I102" s="9"/>
      <c r="J102" s="9"/>
      <c r="K102" s="9"/>
      <c r="L102" s="22"/>
      <c r="M102" s="9"/>
      <c r="N102" s="10"/>
    </row>
    <row r="103" spans="1:14">
      <c r="A103" s="8" t="str">
        <f t="shared" si="3"/>
        <v/>
      </c>
      <c r="B103" s="9"/>
      <c r="C103" s="9"/>
      <c r="D103" s="9" t="e">
        <f>HLOOKUP(DocumentosTable[[#This Row],[Categoria]],Listas!$H$1:$Z$27,1,FALSE)</f>
        <v>#N/A</v>
      </c>
      <c r="E103" s="9"/>
      <c r="F103" s="22"/>
      <c r="G103" s="9"/>
      <c r="H103" s="9"/>
      <c r="I103" s="9"/>
      <c r="J103" s="9"/>
      <c r="K103" s="9"/>
      <c r="L103" s="22"/>
      <c r="M103" s="9"/>
      <c r="N103" s="10"/>
    </row>
    <row r="104" spans="1:14">
      <c r="A104" s="11" t="str">
        <f t="shared" si="3"/>
        <v/>
      </c>
      <c r="B104" s="12"/>
      <c r="C104" s="67"/>
      <c r="D104" s="12" t="e">
        <f>HLOOKUP(DocumentosTable[[#This Row],[Categoria]],Listas!$H$1:$Z$27,1,FALSE)</f>
        <v>#N/A</v>
      </c>
      <c r="E104" s="12"/>
      <c r="F104" s="23"/>
      <c r="G104" s="12"/>
      <c r="H104" s="12"/>
      <c r="I104" s="12"/>
      <c r="J104" s="12"/>
      <c r="K104" s="12"/>
      <c r="L104" s="23"/>
      <c r="M104" s="12"/>
      <c r="N104" s="13"/>
    </row>
  </sheetData>
  <mergeCells count="2">
    <mergeCell ref="A1:N2"/>
    <mergeCell ref="A3:N3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Listas!$A$2:$A$5</xm:f>
          </x14:formula1>
          <xm:sqref>E5:E104 J5:J104</xm:sqref>
        </x14:dataValidation>
        <x14:dataValidation type="list" xr:uid="{00000000-0002-0000-0600-000001000000}">
          <x14:formula1>
            <xm:f>Listas!$F$2:$F$7</xm:f>
          </x14:formula1>
          <xm:sqref>G5:G104</xm:sqref>
        </x14:dataValidation>
        <x14:dataValidation type="list" xr:uid="{00000000-0002-0000-0600-000003000000}">
          <x14:formula1>
            <xm:f>Listas!$G$2:$G$5</xm:f>
          </x14:formula1>
          <xm:sqref>M5:M104</xm:sqref>
        </x14:dataValidation>
        <x14:dataValidation type="list" allowBlank="1" showInputMessage="1" showErrorMessage="1" xr:uid="{144E34F1-E2B2-4567-BB26-94098DA34C9D}">
          <x14:formula1>
            <xm:f>Listas!$H$1:$Z$1</xm:f>
          </x14:formula1>
          <xm:sqref>C5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4"/>
  <sheetViews>
    <sheetView workbookViewId="0">
      <selection sqref="A1:N2"/>
    </sheetView>
  </sheetViews>
  <sheetFormatPr baseColWidth="10" defaultColWidth="8.6640625" defaultRowHeight="14"/>
  <cols>
    <col min="1" max="1" width="12" customWidth="1"/>
    <col min="2" max="2" width="26" customWidth="1"/>
    <col min="3" max="3" width="28" customWidth="1"/>
    <col min="4" max="4" width="38" customWidth="1"/>
    <col min="5" max="7" width="14" customWidth="1"/>
    <col min="8" max="8" width="37" customWidth="1"/>
    <col min="9" max="9" width="30" customWidth="1"/>
    <col min="10" max="10" width="22" customWidth="1"/>
    <col min="11" max="13" width="16" customWidth="1"/>
    <col min="14" max="14" width="35" customWidth="1"/>
  </cols>
  <sheetData>
    <row r="1" spans="1:14" ht="20" customHeight="1">
      <c r="A1" s="94" t="s">
        <v>184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4" ht="29.4" customHeight="1">
      <c r="A3" s="98" t="s">
        <v>185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1:14">
      <c r="A4" s="1" t="s">
        <v>109</v>
      </c>
      <c r="B4" s="2" t="s">
        <v>186</v>
      </c>
      <c r="C4" s="2" t="s">
        <v>187</v>
      </c>
      <c r="D4" s="2" t="s">
        <v>188</v>
      </c>
      <c r="E4" s="2" t="s">
        <v>189</v>
      </c>
      <c r="F4" s="2" t="s">
        <v>190</v>
      </c>
      <c r="G4" s="2" t="s">
        <v>141</v>
      </c>
      <c r="H4" s="2" t="s">
        <v>191</v>
      </c>
      <c r="I4" s="2" t="s">
        <v>192</v>
      </c>
      <c r="J4" s="2" t="s">
        <v>193</v>
      </c>
      <c r="K4" s="2" t="s">
        <v>182</v>
      </c>
      <c r="L4" s="2" t="s">
        <v>177</v>
      </c>
      <c r="M4" s="2" t="s">
        <v>183</v>
      </c>
      <c r="N4" s="3" t="s">
        <v>123</v>
      </c>
    </row>
    <row r="5" spans="1:14">
      <c r="A5" s="5" t="str">
        <f t="shared" ref="A5:A36" si="0">IF(B5="","","RIE-"&amp;TEXT(ROW()-4,"000"))</f>
        <v/>
      </c>
      <c r="B5" s="6"/>
      <c r="C5" s="6"/>
      <c r="D5" s="6"/>
      <c r="E5" s="6"/>
      <c r="F5" s="6"/>
      <c r="G5" s="6"/>
      <c r="H5" s="6"/>
      <c r="I5" s="6"/>
      <c r="J5" s="6"/>
      <c r="K5" s="21"/>
      <c r="L5" s="6"/>
      <c r="M5" s="6"/>
      <c r="N5" s="7"/>
    </row>
    <row r="6" spans="1:14">
      <c r="A6" s="8" t="str">
        <f t="shared" si="0"/>
        <v/>
      </c>
      <c r="B6" s="9"/>
      <c r="C6" s="9"/>
      <c r="D6" s="9"/>
      <c r="E6" s="9"/>
      <c r="F6" s="9"/>
      <c r="G6" s="9"/>
      <c r="H6" s="9"/>
      <c r="I6" s="9"/>
      <c r="J6" s="9"/>
      <c r="K6" s="22"/>
      <c r="L6" s="9"/>
      <c r="M6" s="9"/>
      <c r="N6" s="10"/>
    </row>
    <row r="7" spans="1:14">
      <c r="A7" s="8" t="str">
        <f t="shared" si="0"/>
        <v/>
      </c>
      <c r="B7" s="9"/>
      <c r="C7" s="9"/>
      <c r="D7" s="9"/>
      <c r="E7" s="9"/>
      <c r="F7" s="9"/>
      <c r="G7" s="9"/>
      <c r="H7" s="9"/>
      <c r="I7" s="9"/>
      <c r="J7" s="9"/>
      <c r="K7" s="22"/>
      <c r="L7" s="9"/>
      <c r="M7" s="9"/>
      <c r="N7" s="10"/>
    </row>
    <row r="8" spans="1:14">
      <c r="A8" s="8" t="str">
        <f t="shared" si="0"/>
        <v/>
      </c>
      <c r="B8" s="9"/>
      <c r="C8" s="9"/>
      <c r="D8" s="9"/>
      <c r="E8" s="9"/>
      <c r="F8" s="9"/>
      <c r="G8" s="9"/>
      <c r="H8" s="9"/>
      <c r="I8" s="9"/>
      <c r="J8" s="9"/>
      <c r="K8" s="22"/>
      <c r="L8" s="9"/>
      <c r="M8" s="9"/>
      <c r="N8" s="10"/>
    </row>
    <row r="9" spans="1:14">
      <c r="A9" s="8" t="str">
        <f t="shared" si="0"/>
        <v/>
      </c>
      <c r="B9" s="9"/>
      <c r="C9" s="9"/>
      <c r="D9" s="9"/>
      <c r="E9" s="9"/>
      <c r="F9" s="9"/>
      <c r="G9" s="9"/>
      <c r="H9" s="9"/>
      <c r="I9" s="9"/>
      <c r="J9" s="9"/>
      <c r="K9" s="22"/>
      <c r="L9" s="9"/>
      <c r="M9" s="9"/>
      <c r="N9" s="10"/>
    </row>
    <row r="10" spans="1:14">
      <c r="A10" s="8" t="str">
        <f t="shared" si="0"/>
        <v/>
      </c>
      <c r="B10" s="9"/>
      <c r="C10" s="9"/>
      <c r="D10" s="9"/>
      <c r="E10" s="9"/>
      <c r="F10" s="9"/>
      <c r="G10" s="9"/>
      <c r="H10" s="9"/>
      <c r="I10" s="9"/>
      <c r="J10" s="9"/>
      <c r="K10" s="22"/>
      <c r="L10" s="9"/>
      <c r="M10" s="9"/>
      <c r="N10" s="10"/>
    </row>
    <row r="11" spans="1:14">
      <c r="A11" s="8" t="str">
        <f t="shared" si="0"/>
        <v/>
      </c>
      <c r="B11" s="9"/>
      <c r="C11" s="9"/>
      <c r="D11" s="9"/>
      <c r="E11" s="9"/>
      <c r="F11" s="9"/>
      <c r="G11" s="9"/>
      <c r="H11" s="9"/>
      <c r="I11" s="9"/>
      <c r="J11" s="9"/>
      <c r="K11" s="22"/>
      <c r="L11" s="9"/>
      <c r="M11" s="9"/>
      <c r="N11" s="10"/>
    </row>
    <row r="12" spans="1:14">
      <c r="A12" s="8" t="str">
        <f t="shared" si="0"/>
        <v/>
      </c>
      <c r="B12" s="9"/>
      <c r="C12" s="9"/>
      <c r="D12" s="9"/>
      <c r="E12" s="9"/>
      <c r="F12" s="9"/>
      <c r="G12" s="9"/>
      <c r="H12" s="9"/>
      <c r="I12" s="9"/>
      <c r="J12" s="9"/>
      <c r="K12" s="22"/>
      <c r="L12" s="9"/>
      <c r="M12" s="9"/>
      <c r="N12" s="10"/>
    </row>
    <row r="13" spans="1:14">
      <c r="A13" s="8" t="str">
        <f t="shared" si="0"/>
        <v/>
      </c>
      <c r="B13" s="9"/>
      <c r="C13" s="9"/>
      <c r="D13" s="9"/>
      <c r="E13" s="9"/>
      <c r="F13" s="9"/>
      <c r="G13" s="9"/>
      <c r="H13" s="9"/>
      <c r="I13" s="9"/>
      <c r="J13" s="9"/>
      <c r="K13" s="22"/>
      <c r="L13" s="9"/>
      <c r="M13" s="9"/>
      <c r="N13" s="10"/>
    </row>
    <row r="14" spans="1:14">
      <c r="A14" s="8" t="str">
        <f t="shared" si="0"/>
        <v/>
      </c>
      <c r="B14" s="9"/>
      <c r="C14" s="9"/>
      <c r="D14" s="9"/>
      <c r="E14" s="9"/>
      <c r="F14" s="9"/>
      <c r="G14" s="9"/>
      <c r="H14" s="9"/>
      <c r="I14" s="9"/>
      <c r="J14" s="9"/>
      <c r="K14" s="22"/>
      <c r="L14" s="9"/>
      <c r="M14" s="9"/>
      <c r="N14" s="10"/>
    </row>
    <row r="15" spans="1:14">
      <c r="A15" s="8" t="str">
        <f t="shared" si="0"/>
        <v/>
      </c>
      <c r="B15" s="9"/>
      <c r="C15" s="9"/>
      <c r="D15" s="9"/>
      <c r="E15" s="9"/>
      <c r="F15" s="9"/>
      <c r="G15" s="9"/>
      <c r="H15" s="9"/>
      <c r="I15" s="9"/>
      <c r="J15" s="9"/>
      <c r="K15" s="22"/>
      <c r="L15" s="9"/>
      <c r="M15" s="9"/>
      <c r="N15" s="10"/>
    </row>
    <row r="16" spans="1:14">
      <c r="A16" s="8" t="str">
        <f t="shared" si="0"/>
        <v/>
      </c>
      <c r="B16" s="9"/>
      <c r="C16" s="9"/>
      <c r="D16" s="9"/>
      <c r="E16" s="9"/>
      <c r="F16" s="9"/>
      <c r="G16" s="9"/>
      <c r="H16" s="9"/>
      <c r="I16" s="9"/>
      <c r="J16" s="9"/>
      <c r="K16" s="22"/>
      <c r="L16" s="9"/>
      <c r="M16" s="9"/>
      <c r="N16" s="10"/>
    </row>
    <row r="17" spans="1:14">
      <c r="A17" s="8" t="str">
        <f t="shared" si="0"/>
        <v/>
      </c>
      <c r="B17" s="9"/>
      <c r="C17" s="9"/>
      <c r="D17" s="9"/>
      <c r="E17" s="9"/>
      <c r="F17" s="9"/>
      <c r="G17" s="9"/>
      <c r="H17" s="9"/>
      <c r="I17" s="9"/>
      <c r="J17" s="9"/>
      <c r="K17" s="22"/>
      <c r="L17" s="9"/>
      <c r="M17" s="9"/>
      <c r="N17" s="10"/>
    </row>
    <row r="18" spans="1:14">
      <c r="A18" s="8" t="str">
        <f t="shared" si="0"/>
        <v/>
      </c>
      <c r="B18" s="9"/>
      <c r="C18" s="9"/>
      <c r="D18" s="9"/>
      <c r="E18" s="9"/>
      <c r="F18" s="9"/>
      <c r="G18" s="9"/>
      <c r="H18" s="9"/>
      <c r="I18" s="9"/>
      <c r="J18" s="9"/>
      <c r="K18" s="22"/>
      <c r="L18" s="9"/>
      <c r="M18" s="9"/>
      <c r="N18" s="10"/>
    </row>
    <row r="19" spans="1:14">
      <c r="A19" s="8" t="str">
        <f t="shared" si="0"/>
        <v/>
      </c>
      <c r="B19" s="9"/>
      <c r="C19" s="9"/>
      <c r="D19" s="9"/>
      <c r="E19" s="9"/>
      <c r="F19" s="9"/>
      <c r="G19" s="9"/>
      <c r="H19" s="9"/>
      <c r="I19" s="9"/>
      <c r="J19" s="9"/>
      <c r="K19" s="22"/>
      <c r="L19" s="9"/>
      <c r="M19" s="9"/>
      <c r="N19" s="10"/>
    </row>
    <row r="20" spans="1:14">
      <c r="A20" s="8" t="str">
        <f t="shared" si="0"/>
        <v/>
      </c>
      <c r="B20" s="9"/>
      <c r="C20" s="9"/>
      <c r="D20" s="9"/>
      <c r="E20" s="9"/>
      <c r="F20" s="9"/>
      <c r="G20" s="9"/>
      <c r="H20" s="9"/>
      <c r="I20" s="9"/>
      <c r="J20" s="9"/>
      <c r="K20" s="22"/>
      <c r="L20" s="9"/>
      <c r="M20" s="9"/>
      <c r="N20" s="10"/>
    </row>
    <row r="21" spans="1:14">
      <c r="A21" s="8" t="str">
        <f t="shared" si="0"/>
        <v/>
      </c>
      <c r="B21" s="9"/>
      <c r="C21" s="9"/>
      <c r="D21" s="9"/>
      <c r="E21" s="9"/>
      <c r="F21" s="9"/>
      <c r="G21" s="9"/>
      <c r="H21" s="9"/>
      <c r="I21" s="9"/>
      <c r="J21" s="9"/>
      <c r="K21" s="22"/>
      <c r="L21" s="9"/>
      <c r="M21" s="9"/>
      <c r="N21" s="10"/>
    </row>
    <row r="22" spans="1:14">
      <c r="A22" s="8" t="str">
        <f t="shared" si="0"/>
        <v/>
      </c>
      <c r="B22" s="9"/>
      <c r="C22" s="9"/>
      <c r="D22" s="9"/>
      <c r="E22" s="9"/>
      <c r="F22" s="9"/>
      <c r="G22" s="9"/>
      <c r="H22" s="9"/>
      <c r="I22" s="9"/>
      <c r="J22" s="9"/>
      <c r="K22" s="22"/>
      <c r="L22" s="9"/>
      <c r="M22" s="9"/>
      <c r="N22" s="10"/>
    </row>
    <row r="23" spans="1:14">
      <c r="A23" s="8" t="str">
        <f t="shared" si="0"/>
        <v/>
      </c>
      <c r="B23" s="9"/>
      <c r="C23" s="9"/>
      <c r="D23" s="9"/>
      <c r="E23" s="9"/>
      <c r="F23" s="9"/>
      <c r="G23" s="9"/>
      <c r="H23" s="9"/>
      <c r="I23" s="9"/>
      <c r="J23" s="9"/>
      <c r="K23" s="22"/>
      <c r="L23" s="9"/>
      <c r="M23" s="9"/>
      <c r="N23" s="10"/>
    </row>
    <row r="24" spans="1:14">
      <c r="A24" s="8" t="str">
        <f t="shared" si="0"/>
        <v/>
      </c>
      <c r="B24" s="9"/>
      <c r="C24" s="9"/>
      <c r="D24" s="9"/>
      <c r="E24" s="9"/>
      <c r="F24" s="9"/>
      <c r="G24" s="9"/>
      <c r="H24" s="9"/>
      <c r="I24" s="9"/>
      <c r="J24" s="9"/>
      <c r="K24" s="22"/>
      <c r="L24" s="9"/>
      <c r="M24" s="9"/>
      <c r="N24" s="10"/>
    </row>
    <row r="25" spans="1:14">
      <c r="A25" s="8" t="str">
        <f t="shared" si="0"/>
        <v/>
      </c>
      <c r="B25" s="9"/>
      <c r="C25" s="9"/>
      <c r="D25" s="9"/>
      <c r="E25" s="9"/>
      <c r="F25" s="9"/>
      <c r="G25" s="9"/>
      <c r="H25" s="9"/>
      <c r="I25" s="9"/>
      <c r="J25" s="9"/>
      <c r="K25" s="22"/>
      <c r="L25" s="9"/>
      <c r="M25" s="9"/>
      <c r="N25" s="10"/>
    </row>
    <row r="26" spans="1:14">
      <c r="A26" s="8" t="str">
        <f t="shared" si="0"/>
        <v/>
      </c>
      <c r="B26" s="9"/>
      <c r="C26" s="9"/>
      <c r="D26" s="9"/>
      <c r="E26" s="9"/>
      <c r="F26" s="9"/>
      <c r="G26" s="9"/>
      <c r="H26" s="9"/>
      <c r="I26" s="9"/>
      <c r="J26" s="9"/>
      <c r="K26" s="22"/>
      <c r="L26" s="9"/>
      <c r="M26" s="9"/>
      <c r="N26" s="10"/>
    </row>
    <row r="27" spans="1:14">
      <c r="A27" s="8" t="str">
        <f t="shared" si="0"/>
        <v/>
      </c>
      <c r="B27" s="9"/>
      <c r="C27" s="9"/>
      <c r="D27" s="9"/>
      <c r="E27" s="9"/>
      <c r="F27" s="9"/>
      <c r="G27" s="9"/>
      <c r="H27" s="9"/>
      <c r="I27" s="9"/>
      <c r="J27" s="9"/>
      <c r="K27" s="22"/>
      <c r="L27" s="9"/>
      <c r="M27" s="9"/>
      <c r="N27" s="10"/>
    </row>
    <row r="28" spans="1:14">
      <c r="A28" s="8" t="str">
        <f t="shared" si="0"/>
        <v/>
      </c>
      <c r="B28" s="9"/>
      <c r="C28" s="9"/>
      <c r="D28" s="9"/>
      <c r="E28" s="9"/>
      <c r="F28" s="9"/>
      <c r="G28" s="9"/>
      <c r="H28" s="9"/>
      <c r="I28" s="9"/>
      <c r="J28" s="9"/>
      <c r="K28" s="22"/>
      <c r="L28" s="9"/>
      <c r="M28" s="9"/>
      <c r="N28" s="10"/>
    </row>
    <row r="29" spans="1:14">
      <c r="A29" s="8" t="str">
        <f t="shared" si="0"/>
        <v/>
      </c>
      <c r="B29" s="9"/>
      <c r="C29" s="9"/>
      <c r="D29" s="9"/>
      <c r="E29" s="9"/>
      <c r="F29" s="9"/>
      <c r="G29" s="9"/>
      <c r="H29" s="9"/>
      <c r="I29" s="9"/>
      <c r="J29" s="9"/>
      <c r="K29" s="22"/>
      <c r="L29" s="9"/>
      <c r="M29" s="9"/>
      <c r="N29" s="10"/>
    </row>
    <row r="30" spans="1:14">
      <c r="A30" s="8" t="str">
        <f t="shared" si="0"/>
        <v/>
      </c>
      <c r="B30" s="9"/>
      <c r="C30" s="9"/>
      <c r="D30" s="9"/>
      <c r="E30" s="9"/>
      <c r="F30" s="9"/>
      <c r="G30" s="9"/>
      <c r="H30" s="9"/>
      <c r="I30" s="9"/>
      <c r="J30" s="9"/>
      <c r="K30" s="22"/>
      <c r="L30" s="9"/>
      <c r="M30" s="9"/>
      <c r="N30" s="10"/>
    </row>
    <row r="31" spans="1:14">
      <c r="A31" s="8" t="str">
        <f t="shared" si="0"/>
        <v/>
      </c>
      <c r="B31" s="9"/>
      <c r="C31" s="9"/>
      <c r="D31" s="9"/>
      <c r="E31" s="9"/>
      <c r="F31" s="9"/>
      <c r="G31" s="9"/>
      <c r="H31" s="9"/>
      <c r="I31" s="9"/>
      <c r="J31" s="9"/>
      <c r="K31" s="22"/>
      <c r="L31" s="9"/>
      <c r="M31" s="9"/>
      <c r="N31" s="10"/>
    </row>
    <row r="32" spans="1:14">
      <c r="A32" s="8" t="str">
        <f t="shared" si="0"/>
        <v/>
      </c>
      <c r="B32" s="9"/>
      <c r="C32" s="9"/>
      <c r="D32" s="9"/>
      <c r="E32" s="9"/>
      <c r="F32" s="9"/>
      <c r="G32" s="9"/>
      <c r="H32" s="9"/>
      <c r="I32" s="9"/>
      <c r="J32" s="9"/>
      <c r="K32" s="22"/>
      <c r="L32" s="9"/>
      <c r="M32" s="9"/>
      <c r="N32" s="10"/>
    </row>
    <row r="33" spans="1:14">
      <c r="A33" s="8" t="str">
        <f t="shared" si="0"/>
        <v/>
      </c>
      <c r="B33" s="9"/>
      <c r="C33" s="9"/>
      <c r="D33" s="9"/>
      <c r="E33" s="9"/>
      <c r="F33" s="9"/>
      <c r="G33" s="9"/>
      <c r="H33" s="9"/>
      <c r="I33" s="9"/>
      <c r="J33" s="9"/>
      <c r="K33" s="22"/>
      <c r="L33" s="9"/>
      <c r="M33" s="9"/>
      <c r="N33" s="10"/>
    </row>
    <row r="34" spans="1:14">
      <c r="A34" s="8" t="str">
        <f t="shared" si="0"/>
        <v/>
      </c>
      <c r="B34" s="9"/>
      <c r="C34" s="9"/>
      <c r="D34" s="9"/>
      <c r="E34" s="9"/>
      <c r="F34" s="9"/>
      <c r="G34" s="9"/>
      <c r="H34" s="9"/>
      <c r="I34" s="9"/>
      <c r="J34" s="9"/>
      <c r="K34" s="22"/>
      <c r="L34" s="9"/>
      <c r="M34" s="9"/>
      <c r="N34" s="10"/>
    </row>
    <row r="35" spans="1:14">
      <c r="A35" s="8" t="str">
        <f t="shared" si="0"/>
        <v/>
      </c>
      <c r="B35" s="9"/>
      <c r="C35" s="9"/>
      <c r="D35" s="9"/>
      <c r="E35" s="9"/>
      <c r="F35" s="9"/>
      <c r="G35" s="9"/>
      <c r="H35" s="9"/>
      <c r="I35" s="9"/>
      <c r="J35" s="9"/>
      <c r="K35" s="22"/>
      <c r="L35" s="9"/>
      <c r="M35" s="9"/>
      <c r="N35" s="10"/>
    </row>
    <row r="36" spans="1:14">
      <c r="A36" s="8" t="str">
        <f t="shared" si="0"/>
        <v/>
      </c>
      <c r="B36" s="9"/>
      <c r="C36" s="9"/>
      <c r="D36" s="9"/>
      <c r="E36" s="9"/>
      <c r="F36" s="9"/>
      <c r="G36" s="9"/>
      <c r="H36" s="9"/>
      <c r="I36" s="9"/>
      <c r="J36" s="9"/>
      <c r="K36" s="22"/>
      <c r="L36" s="9"/>
      <c r="M36" s="9"/>
      <c r="N36" s="10"/>
    </row>
    <row r="37" spans="1:14">
      <c r="A37" s="8" t="str">
        <f t="shared" ref="A37:A68" si="1">IF(B37="","","RIE-"&amp;TEXT(ROW()-4,"000"))</f>
        <v/>
      </c>
      <c r="B37" s="9"/>
      <c r="C37" s="9"/>
      <c r="D37" s="9"/>
      <c r="E37" s="9"/>
      <c r="F37" s="9"/>
      <c r="G37" s="9"/>
      <c r="H37" s="9"/>
      <c r="I37" s="9"/>
      <c r="J37" s="9"/>
      <c r="K37" s="22"/>
      <c r="L37" s="9"/>
      <c r="M37" s="9"/>
      <c r="N37" s="10"/>
    </row>
    <row r="38" spans="1:14">
      <c r="A38" s="8" t="str">
        <f t="shared" si="1"/>
        <v/>
      </c>
      <c r="B38" s="9"/>
      <c r="C38" s="9"/>
      <c r="D38" s="9"/>
      <c r="E38" s="9"/>
      <c r="F38" s="9"/>
      <c r="G38" s="9"/>
      <c r="H38" s="9"/>
      <c r="I38" s="9"/>
      <c r="J38" s="9"/>
      <c r="K38" s="22"/>
      <c r="L38" s="9"/>
      <c r="M38" s="9"/>
      <c r="N38" s="10"/>
    </row>
    <row r="39" spans="1:14">
      <c r="A39" s="8" t="str">
        <f t="shared" si="1"/>
        <v/>
      </c>
      <c r="B39" s="9"/>
      <c r="C39" s="9"/>
      <c r="D39" s="9"/>
      <c r="E39" s="9"/>
      <c r="F39" s="9"/>
      <c r="G39" s="9"/>
      <c r="H39" s="9"/>
      <c r="I39" s="9"/>
      <c r="J39" s="9"/>
      <c r="K39" s="22"/>
      <c r="L39" s="9"/>
      <c r="M39" s="9"/>
      <c r="N39" s="10"/>
    </row>
    <row r="40" spans="1:14">
      <c r="A40" s="8" t="str">
        <f t="shared" si="1"/>
        <v/>
      </c>
      <c r="B40" s="9"/>
      <c r="C40" s="9"/>
      <c r="D40" s="9"/>
      <c r="E40" s="9"/>
      <c r="F40" s="9"/>
      <c r="G40" s="9"/>
      <c r="H40" s="9"/>
      <c r="I40" s="9"/>
      <c r="J40" s="9"/>
      <c r="K40" s="22"/>
      <c r="L40" s="9"/>
      <c r="M40" s="9"/>
      <c r="N40" s="10"/>
    </row>
    <row r="41" spans="1:14">
      <c r="A41" s="8" t="str">
        <f t="shared" si="1"/>
        <v/>
      </c>
      <c r="B41" s="9"/>
      <c r="C41" s="9"/>
      <c r="D41" s="9"/>
      <c r="E41" s="9"/>
      <c r="F41" s="9"/>
      <c r="G41" s="9"/>
      <c r="H41" s="9"/>
      <c r="I41" s="9"/>
      <c r="J41" s="9"/>
      <c r="K41" s="22"/>
      <c r="L41" s="9"/>
      <c r="M41" s="9"/>
      <c r="N41" s="10"/>
    </row>
    <row r="42" spans="1:14">
      <c r="A42" s="8" t="str">
        <f t="shared" si="1"/>
        <v/>
      </c>
      <c r="B42" s="9"/>
      <c r="C42" s="9"/>
      <c r="D42" s="9"/>
      <c r="E42" s="9"/>
      <c r="F42" s="9"/>
      <c r="G42" s="9"/>
      <c r="H42" s="9"/>
      <c r="I42" s="9"/>
      <c r="J42" s="9"/>
      <c r="K42" s="22"/>
      <c r="L42" s="9"/>
      <c r="M42" s="9"/>
      <c r="N42" s="10"/>
    </row>
    <row r="43" spans="1:14">
      <c r="A43" s="8" t="str">
        <f t="shared" si="1"/>
        <v/>
      </c>
      <c r="B43" s="9"/>
      <c r="C43" s="9"/>
      <c r="D43" s="9"/>
      <c r="E43" s="9"/>
      <c r="F43" s="9"/>
      <c r="G43" s="9"/>
      <c r="H43" s="9"/>
      <c r="I43" s="9"/>
      <c r="J43" s="9"/>
      <c r="K43" s="22"/>
      <c r="L43" s="9"/>
      <c r="M43" s="9"/>
      <c r="N43" s="10"/>
    </row>
    <row r="44" spans="1:14">
      <c r="A44" s="8" t="str">
        <f t="shared" si="1"/>
        <v/>
      </c>
      <c r="B44" s="9"/>
      <c r="C44" s="9"/>
      <c r="D44" s="9"/>
      <c r="E44" s="9"/>
      <c r="F44" s="9"/>
      <c r="G44" s="9"/>
      <c r="H44" s="9"/>
      <c r="I44" s="9"/>
      <c r="J44" s="9"/>
      <c r="K44" s="22"/>
      <c r="L44" s="9"/>
      <c r="M44" s="9"/>
      <c r="N44" s="10"/>
    </row>
    <row r="45" spans="1:14">
      <c r="A45" s="8" t="str">
        <f t="shared" si="1"/>
        <v/>
      </c>
      <c r="B45" s="9"/>
      <c r="C45" s="9"/>
      <c r="D45" s="9"/>
      <c r="E45" s="9"/>
      <c r="F45" s="9"/>
      <c r="G45" s="9"/>
      <c r="H45" s="9"/>
      <c r="I45" s="9"/>
      <c r="J45" s="9"/>
      <c r="K45" s="22"/>
      <c r="L45" s="9"/>
      <c r="M45" s="9"/>
      <c r="N45" s="10"/>
    </row>
    <row r="46" spans="1:14">
      <c r="A46" s="8" t="str">
        <f t="shared" si="1"/>
        <v/>
      </c>
      <c r="B46" s="9"/>
      <c r="C46" s="9"/>
      <c r="D46" s="9"/>
      <c r="E46" s="9"/>
      <c r="F46" s="9"/>
      <c r="G46" s="9"/>
      <c r="H46" s="9"/>
      <c r="I46" s="9"/>
      <c r="J46" s="9"/>
      <c r="K46" s="22"/>
      <c r="L46" s="9"/>
      <c r="M46" s="9"/>
      <c r="N46" s="10"/>
    </row>
    <row r="47" spans="1:14">
      <c r="A47" s="8" t="str">
        <f t="shared" si="1"/>
        <v/>
      </c>
      <c r="B47" s="9"/>
      <c r="C47" s="9"/>
      <c r="D47" s="9"/>
      <c r="E47" s="9"/>
      <c r="F47" s="9"/>
      <c r="G47" s="9"/>
      <c r="H47" s="9"/>
      <c r="I47" s="9"/>
      <c r="J47" s="9"/>
      <c r="K47" s="22"/>
      <c r="L47" s="9"/>
      <c r="M47" s="9"/>
      <c r="N47" s="10"/>
    </row>
    <row r="48" spans="1:14">
      <c r="A48" s="8" t="str">
        <f t="shared" si="1"/>
        <v/>
      </c>
      <c r="B48" s="9"/>
      <c r="C48" s="9"/>
      <c r="D48" s="9"/>
      <c r="E48" s="9"/>
      <c r="F48" s="9"/>
      <c r="G48" s="9"/>
      <c r="H48" s="9"/>
      <c r="I48" s="9"/>
      <c r="J48" s="9"/>
      <c r="K48" s="22"/>
      <c r="L48" s="9"/>
      <c r="M48" s="9"/>
      <c r="N48" s="10"/>
    </row>
    <row r="49" spans="1:14">
      <c r="A49" s="8" t="str">
        <f t="shared" si="1"/>
        <v/>
      </c>
      <c r="B49" s="9"/>
      <c r="C49" s="9"/>
      <c r="D49" s="9"/>
      <c r="E49" s="9"/>
      <c r="F49" s="9"/>
      <c r="G49" s="9"/>
      <c r="H49" s="9"/>
      <c r="I49" s="9"/>
      <c r="J49" s="9"/>
      <c r="K49" s="22"/>
      <c r="L49" s="9"/>
      <c r="M49" s="9"/>
      <c r="N49" s="10"/>
    </row>
    <row r="50" spans="1:14">
      <c r="A50" s="8" t="str">
        <f t="shared" si="1"/>
        <v/>
      </c>
      <c r="B50" s="9"/>
      <c r="C50" s="9"/>
      <c r="D50" s="9"/>
      <c r="E50" s="9"/>
      <c r="F50" s="9"/>
      <c r="G50" s="9"/>
      <c r="H50" s="9"/>
      <c r="I50" s="9"/>
      <c r="J50" s="9"/>
      <c r="K50" s="22"/>
      <c r="L50" s="9"/>
      <c r="M50" s="9"/>
      <c r="N50" s="10"/>
    </row>
    <row r="51" spans="1:14">
      <c r="A51" s="8" t="str">
        <f t="shared" si="1"/>
        <v/>
      </c>
      <c r="B51" s="9"/>
      <c r="C51" s="9"/>
      <c r="D51" s="9"/>
      <c r="E51" s="9"/>
      <c r="F51" s="9"/>
      <c r="G51" s="9"/>
      <c r="H51" s="9"/>
      <c r="I51" s="9"/>
      <c r="J51" s="9"/>
      <c r="K51" s="22"/>
      <c r="L51" s="9"/>
      <c r="M51" s="9"/>
      <c r="N51" s="10"/>
    </row>
    <row r="52" spans="1:14">
      <c r="A52" s="8" t="str">
        <f t="shared" si="1"/>
        <v/>
      </c>
      <c r="B52" s="9"/>
      <c r="C52" s="9"/>
      <c r="D52" s="9"/>
      <c r="E52" s="9"/>
      <c r="F52" s="9"/>
      <c r="G52" s="9"/>
      <c r="H52" s="9"/>
      <c r="I52" s="9"/>
      <c r="J52" s="9"/>
      <c r="K52" s="22"/>
      <c r="L52" s="9"/>
      <c r="M52" s="9"/>
      <c r="N52" s="10"/>
    </row>
    <row r="53" spans="1:14">
      <c r="A53" s="8" t="str">
        <f t="shared" si="1"/>
        <v/>
      </c>
      <c r="B53" s="9"/>
      <c r="C53" s="9"/>
      <c r="D53" s="9"/>
      <c r="E53" s="9"/>
      <c r="F53" s="9"/>
      <c r="G53" s="9"/>
      <c r="H53" s="9"/>
      <c r="I53" s="9"/>
      <c r="J53" s="9"/>
      <c r="K53" s="22"/>
      <c r="L53" s="9"/>
      <c r="M53" s="9"/>
      <c r="N53" s="10"/>
    </row>
    <row r="54" spans="1:14">
      <c r="A54" s="8" t="str">
        <f t="shared" si="1"/>
        <v/>
      </c>
      <c r="B54" s="9"/>
      <c r="C54" s="9"/>
      <c r="D54" s="9"/>
      <c r="E54" s="9"/>
      <c r="F54" s="9"/>
      <c r="G54" s="9"/>
      <c r="H54" s="9"/>
      <c r="I54" s="9"/>
      <c r="J54" s="9"/>
      <c r="K54" s="22"/>
      <c r="L54" s="9"/>
      <c r="M54" s="9"/>
      <c r="N54" s="10"/>
    </row>
    <row r="55" spans="1:14">
      <c r="A55" s="8" t="str">
        <f t="shared" si="1"/>
        <v/>
      </c>
      <c r="B55" s="9"/>
      <c r="C55" s="9"/>
      <c r="D55" s="9"/>
      <c r="E55" s="9"/>
      <c r="F55" s="9"/>
      <c r="G55" s="9"/>
      <c r="H55" s="9"/>
      <c r="I55" s="9"/>
      <c r="J55" s="9"/>
      <c r="K55" s="22"/>
      <c r="L55" s="9"/>
      <c r="M55" s="9"/>
      <c r="N55" s="10"/>
    </row>
    <row r="56" spans="1:14">
      <c r="A56" s="8" t="str">
        <f t="shared" si="1"/>
        <v/>
      </c>
      <c r="B56" s="9"/>
      <c r="C56" s="9"/>
      <c r="D56" s="9"/>
      <c r="E56" s="9"/>
      <c r="F56" s="9"/>
      <c r="G56" s="9"/>
      <c r="H56" s="9"/>
      <c r="I56" s="9"/>
      <c r="J56" s="9"/>
      <c r="K56" s="22"/>
      <c r="L56" s="9"/>
      <c r="M56" s="9"/>
      <c r="N56" s="10"/>
    </row>
    <row r="57" spans="1:14">
      <c r="A57" s="8" t="str">
        <f t="shared" si="1"/>
        <v/>
      </c>
      <c r="B57" s="9"/>
      <c r="C57" s="9"/>
      <c r="D57" s="9"/>
      <c r="E57" s="9"/>
      <c r="F57" s="9"/>
      <c r="G57" s="9"/>
      <c r="H57" s="9"/>
      <c r="I57" s="9"/>
      <c r="J57" s="9"/>
      <c r="K57" s="22"/>
      <c r="L57" s="9"/>
      <c r="M57" s="9"/>
      <c r="N57" s="10"/>
    </row>
    <row r="58" spans="1:14">
      <c r="A58" s="8" t="str">
        <f t="shared" si="1"/>
        <v/>
      </c>
      <c r="B58" s="9"/>
      <c r="C58" s="9"/>
      <c r="D58" s="9"/>
      <c r="E58" s="9"/>
      <c r="F58" s="9"/>
      <c r="G58" s="9"/>
      <c r="H58" s="9"/>
      <c r="I58" s="9"/>
      <c r="J58" s="9"/>
      <c r="K58" s="22"/>
      <c r="L58" s="9"/>
      <c r="M58" s="9"/>
      <c r="N58" s="10"/>
    </row>
    <row r="59" spans="1:14">
      <c r="A59" s="8" t="str">
        <f t="shared" si="1"/>
        <v/>
      </c>
      <c r="B59" s="9"/>
      <c r="C59" s="9"/>
      <c r="D59" s="9"/>
      <c r="E59" s="9"/>
      <c r="F59" s="9"/>
      <c r="G59" s="9"/>
      <c r="H59" s="9"/>
      <c r="I59" s="9"/>
      <c r="J59" s="9"/>
      <c r="K59" s="22"/>
      <c r="L59" s="9"/>
      <c r="M59" s="9"/>
      <c r="N59" s="10"/>
    </row>
    <row r="60" spans="1:14">
      <c r="A60" s="8" t="str">
        <f t="shared" si="1"/>
        <v/>
      </c>
      <c r="B60" s="9"/>
      <c r="C60" s="9"/>
      <c r="D60" s="9"/>
      <c r="E60" s="9"/>
      <c r="F60" s="9"/>
      <c r="G60" s="9"/>
      <c r="H60" s="9"/>
      <c r="I60" s="9"/>
      <c r="J60" s="9"/>
      <c r="K60" s="22"/>
      <c r="L60" s="9"/>
      <c r="M60" s="9"/>
      <c r="N60" s="10"/>
    </row>
    <row r="61" spans="1:14">
      <c r="A61" s="8" t="str">
        <f t="shared" si="1"/>
        <v/>
      </c>
      <c r="B61" s="9"/>
      <c r="C61" s="9"/>
      <c r="D61" s="9"/>
      <c r="E61" s="9"/>
      <c r="F61" s="9"/>
      <c r="G61" s="9"/>
      <c r="H61" s="9"/>
      <c r="I61" s="9"/>
      <c r="J61" s="9"/>
      <c r="K61" s="22"/>
      <c r="L61" s="9"/>
      <c r="M61" s="9"/>
      <c r="N61" s="10"/>
    </row>
    <row r="62" spans="1:14">
      <c r="A62" s="8" t="str">
        <f t="shared" si="1"/>
        <v/>
      </c>
      <c r="B62" s="9"/>
      <c r="C62" s="9"/>
      <c r="D62" s="9"/>
      <c r="E62" s="9"/>
      <c r="F62" s="9"/>
      <c r="G62" s="9"/>
      <c r="H62" s="9"/>
      <c r="I62" s="9"/>
      <c r="J62" s="9"/>
      <c r="K62" s="22"/>
      <c r="L62" s="9"/>
      <c r="M62" s="9"/>
      <c r="N62" s="10"/>
    </row>
    <row r="63" spans="1:14">
      <c r="A63" s="8" t="str">
        <f t="shared" si="1"/>
        <v/>
      </c>
      <c r="B63" s="9"/>
      <c r="C63" s="9"/>
      <c r="D63" s="9"/>
      <c r="E63" s="9"/>
      <c r="F63" s="9"/>
      <c r="G63" s="9"/>
      <c r="H63" s="9"/>
      <c r="I63" s="9"/>
      <c r="J63" s="9"/>
      <c r="K63" s="22"/>
      <c r="L63" s="9"/>
      <c r="M63" s="9"/>
      <c r="N63" s="10"/>
    </row>
    <row r="64" spans="1:14">
      <c r="A64" s="8" t="str">
        <f t="shared" si="1"/>
        <v/>
      </c>
      <c r="B64" s="9"/>
      <c r="C64" s="9"/>
      <c r="D64" s="9"/>
      <c r="E64" s="9"/>
      <c r="F64" s="9"/>
      <c r="G64" s="9"/>
      <c r="H64" s="9"/>
      <c r="I64" s="9"/>
      <c r="J64" s="9"/>
      <c r="K64" s="22"/>
      <c r="L64" s="9"/>
      <c r="M64" s="9"/>
      <c r="N64" s="10"/>
    </row>
    <row r="65" spans="1:14">
      <c r="A65" s="8" t="str">
        <f t="shared" si="1"/>
        <v/>
      </c>
      <c r="B65" s="9"/>
      <c r="C65" s="9"/>
      <c r="D65" s="9"/>
      <c r="E65" s="9"/>
      <c r="F65" s="9"/>
      <c r="G65" s="9"/>
      <c r="H65" s="9"/>
      <c r="I65" s="9"/>
      <c r="J65" s="9"/>
      <c r="K65" s="22"/>
      <c r="L65" s="9"/>
      <c r="M65" s="9"/>
      <c r="N65" s="10"/>
    </row>
    <row r="66" spans="1:14">
      <c r="A66" s="8" t="str">
        <f t="shared" si="1"/>
        <v/>
      </c>
      <c r="B66" s="9"/>
      <c r="C66" s="9"/>
      <c r="D66" s="9"/>
      <c r="E66" s="9"/>
      <c r="F66" s="9"/>
      <c r="G66" s="9"/>
      <c r="H66" s="9"/>
      <c r="I66" s="9"/>
      <c r="J66" s="9"/>
      <c r="K66" s="22"/>
      <c r="L66" s="9"/>
      <c r="M66" s="9"/>
      <c r="N66" s="10"/>
    </row>
    <row r="67" spans="1:14">
      <c r="A67" s="8" t="str">
        <f t="shared" si="1"/>
        <v/>
      </c>
      <c r="B67" s="9"/>
      <c r="C67" s="9"/>
      <c r="D67" s="9"/>
      <c r="E67" s="9"/>
      <c r="F67" s="9"/>
      <c r="G67" s="9"/>
      <c r="H67" s="9"/>
      <c r="I67" s="9"/>
      <c r="J67" s="9"/>
      <c r="K67" s="22"/>
      <c r="L67" s="9"/>
      <c r="M67" s="9"/>
      <c r="N67" s="10"/>
    </row>
    <row r="68" spans="1:14">
      <c r="A68" s="8" t="str">
        <f t="shared" si="1"/>
        <v/>
      </c>
      <c r="B68" s="9"/>
      <c r="C68" s="9"/>
      <c r="D68" s="9"/>
      <c r="E68" s="9"/>
      <c r="F68" s="9"/>
      <c r="G68" s="9"/>
      <c r="H68" s="9"/>
      <c r="I68" s="9"/>
      <c r="J68" s="9"/>
      <c r="K68" s="22"/>
      <c r="L68" s="9"/>
      <c r="M68" s="9"/>
      <c r="N68" s="10"/>
    </row>
    <row r="69" spans="1:14">
      <c r="A69" s="8" t="str">
        <f t="shared" ref="A69:A84" si="2">IF(B69="","","RIE-"&amp;TEXT(ROW()-4,"000"))</f>
        <v/>
      </c>
      <c r="B69" s="9"/>
      <c r="C69" s="9"/>
      <c r="D69" s="9"/>
      <c r="E69" s="9"/>
      <c r="F69" s="9"/>
      <c r="G69" s="9"/>
      <c r="H69" s="9"/>
      <c r="I69" s="9"/>
      <c r="J69" s="9"/>
      <c r="K69" s="22"/>
      <c r="L69" s="9"/>
      <c r="M69" s="9"/>
      <c r="N69" s="10"/>
    </row>
    <row r="70" spans="1:14">
      <c r="A70" s="8" t="str">
        <f t="shared" si="2"/>
        <v/>
      </c>
      <c r="B70" s="9"/>
      <c r="C70" s="9"/>
      <c r="D70" s="9"/>
      <c r="E70" s="9"/>
      <c r="F70" s="9"/>
      <c r="G70" s="9"/>
      <c r="H70" s="9"/>
      <c r="I70" s="9"/>
      <c r="J70" s="9"/>
      <c r="K70" s="22"/>
      <c r="L70" s="9"/>
      <c r="M70" s="9"/>
      <c r="N70" s="10"/>
    </row>
    <row r="71" spans="1:14">
      <c r="A71" s="8" t="str">
        <f t="shared" si="2"/>
        <v/>
      </c>
      <c r="B71" s="9"/>
      <c r="C71" s="9"/>
      <c r="D71" s="9"/>
      <c r="E71" s="9"/>
      <c r="F71" s="9"/>
      <c r="G71" s="9"/>
      <c r="H71" s="9"/>
      <c r="I71" s="9"/>
      <c r="J71" s="9"/>
      <c r="K71" s="22"/>
      <c r="L71" s="9"/>
      <c r="M71" s="9"/>
      <c r="N71" s="10"/>
    </row>
    <row r="72" spans="1:14">
      <c r="A72" s="8" t="str">
        <f t="shared" si="2"/>
        <v/>
      </c>
      <c r="B72" s="9"/>
      <c r="C72" s="9"/>
      <c r="D72" s="9"/>
      <c r="E72" s="9"/>
      <c r="F72" s="9"/>
      <c r="G72" s="9"/>
      <c r="H72" s="9"/>
      <c r="I72" s="9"/>
      <c r="J72" s="9"/>
      <c r="K72" s="22"/>
      <c r="L72" s="9"/>
      <c r="M72" s="9"/>
      <c r="N72" s="10"/>
    </row>
    <row r="73" spans="1:14">
      <c r="A73" s="8" t="str">
        <f t="shared" si="2"/>
        <v/>
      </c>
      <c r="B73" s="9"/>
      <c r="C73" s="9"/>
      <c r="D73" s="9"/>
      <c r="E73" s="9"/>
      <c r="F73" s="9"/>
      <c r="G73" s="9"/>
      <c r="H73" s="9"/>
      <c r="I73" s="9"/>
      <c r="J73" s="9"/>
      <c r="K73" s="22"/>
      <c r="L73" s="9"/>
      <c r="M73" s="9"/>
      <c r="N73" s="10"/>
    </row>
    <row r="74" spans="1:14">
      <c r="A74" s="8" t="str">
        <f t="shared" si="2"/>
        <v/>
      </c>
      <c r="B74" s="9"/>
      <c r="C74" s="9"/>
      <c r="D74" s="9"/>
      <c r="E74" s="9"/>
      <c r="F74" s="9"/>
      <c r="G74" s="9"/>
      <c r="H74" s="9"/>
      <c r="I74" s="9"/>
      <c r="J74" s="9"/>
      <c r="K74" s="22"/>
      <c r="L74" s="9"/>
      <c r="M74" s="9"/>
      <c r="N74" s="10"/>
    </row>
    <row r="75" spans="1:14">
      <c r="A75" s="8" t="str">
        <f t="shared" si="2"/>
        <v/>
      </c>
      <c r="B75" s="9"/>
      <c r="C75" s="9"/>
      <c r="D75" s="9"/>
      <c r="E75" s="9"/>
      <c r="F75" s="9"/>
      <c r="G75" s="9"/>
      <c r="H75" s="9"/>
      <c r="I75" s="9"/>
      <c r="J75" s="9"/>
      <c r="K75" s="22"/>
      <c r="L75" s="9"/>
      <c r="M75" s="9"/>
      <c r="N75" s="10"/>
    </row>
    <row r="76" spans="1:14">
      <c r="A76" s="8" t="str">
        <f t="shared" si="2"/>
        <v/>
      </c>
      <c r="B76" s="9"/>
      <c r="C76" s="9"/>
      <c r="D76" s="9"/>
      <c r="E76" s="9"/>
      <c r="F76" s="9"/>
      <c r="G76" s="9"/>
      <c r="H76" s="9"/>
      <c r="I76" s="9"/>
      <c r="J76" s="9"/>
      <c r="K76" s="22"/>
      <c r="L76" s="9"/>
      <c r="M76" s="9"/>
      <c r="N76" s="10"/>
    </row>
    <row r="77" spans="1:14">
      <c r="A77" s="8" t="str">
        <f t="shared" si="2"/>
        <v/>
      </c>
      <c r="B77" s="9"/>
      <c r="C77" s="9"/>
      <c r="D77" s="9"/>
      <c r="E77" s="9"/>
      <c r="F77" s="9"/>
      <c r="G77" s="9"/>
      <c r="H77" s="9"/>
      <c r="I77" s="9"/>
      <c r="J77" s="9"/>
      <c r="K77" s="22"/>
      <c r="L77" s="9"/>
      <c r="M77" s="9"/>
      <c r="N77" s="10"/>
    </row>
    <row r="78" spans="1:14">
      <c r="A78" s="8" t="str">
        <f t="shared" si="2"/>
        <v/>
      </c>
      <c r="B78" s="9"/>
      <c r="C78" s="9"/>
      <c r="D78" s="9"/>
      <c r="E78" s="9"/>
      <c r="F78" s="9"/>
      <c r="G78" s="9"/>
      <c r="H78" s="9"/>
      <c r="I78" s="9"/>
      <c r="J78" s="9"/>
      <c r="K78" s="22"/>
      <c r="L78" s="9"/>
      <c r="M78" s="9"/>
      <c r="N78" s="10"/>
    </row>
    <row r="79" spans="1:14">
      <c r="A79" s="8" t="str">
        <f t="shared" si="2"/>
        <v/>
      </c>
      <c r="B79" s="9"/>
      <c r="C79" s="9"/>
      <c r="D79" s="9"/>
      <c r="E79" s="9"/>
      <c r="F79" s="9"/>
      <c r="G79" s="9"/>
      <c r="H79" s="9"/>
      <c r="I79" s="9"/>
      <c r="J79" s="9"/>
      <c r="K79" s="22"/>
      <c r="L79" s="9"/>
      <c r="M79" s="9"/>
      <c r="N79" s="10"/>
    </row>
    <row r="80" spans="1:14">
      <c r="A80" s="8" t="str">
        <f t="shared" si="2"/>
        <v/>
      </c>
      <c r="B80" s="9"/>
      <c r="C80" s="9"/>
      <c r="D80" s="9"/>
      <c r="E80" s="9"/>
      <c r="F80" s="9"/>
      <c r="G80" s="9"/>
      <c r="H80" s="9"/>
      <c r="I80" s="9"/>
      <c r="J80" s="9"/>
      <c r="K80" s="22"/>
      <c r="L80" s="9"/>
      <c r="M80" s="9"/>
      <c r="N80" s="10"/>
    </row>
    <row r="81" spans="1:14">
      <c r="A81" s="8" t="str">
        <f t="shared" si="2"/>
        <v/>
      </c>
      <c r="B81" s="9"/>
      <c r="C81" s="9"/>
      <c r="D81" s="9"/>
      <c r="E81" s="9"/>
      <c r="F81" s="9"/>
      <c r="G81" s="9"/>
      <c r="H81" s="9"/>
      <c r="I81" s="9"/>
      <c r="J81" s="9"/>
      <c r="K81" s="22"/>
      <c r="L81" s="9"/>
      <c r="M81" s="9"/>
      <c r="N81" s="10"/>
    </row>
    <row r="82" spans="1:14">
      <c r="A82" s="8" t="str">
        <f t="shared" si="2"/>
        <v/>
      </c>
      <c r="B82" s="9"/>
      <c r="C82" s="9"/>
      <c r="D82" s="9"/>
      <c r="E82" s="9"/>
      <c r="F82" s="9"/>
      <c r="G82" s="9"/>
      <c r="H82" s="9"/>
      <c r="I82" s="9"/>
      <c r="J82" s="9"/>
      <c r="K82" s="22"/>
      <c r="L82" s="9"/>
      <c r="M82" s="9"/>
      <c r="N82" s="10"/>
    </row>
    <row r="83" spans="1:14">
      <c r="A83" s="8" t="str">
        <f t="shared" si="2"/>
        <v/>
      </c>
      <c r="B83" s="9"/>
      <c r="C83" s="9"/>
      <c r="D83" s="9"/>
      <c r="E83" s="9"/>
      <c r="F83" s="9"/>
      <c r="G83" s="9"/>
      <c r="H83" s="9"/>
      <c r="I83" s="9"/>
      <c r="J83" s="9"/>
      <c r="K83" s="22"/>
      <c r="L83" s="9"/>
      <c r="M83" s="9"/>
      <c r="N83" s="10"/>
    </row>
    <row r="84" spans="1:14">
      <c r="A84" s="11" t="str">
        <f t="shared" si="2"/>
        <v/>
      </c>
      <c r="B84" s="12"/>
      <c r="C84" s="12"/>
      <c r="D84" s="12"/>
      <c r="E84" s="12"/>
      <c r="F84" s="12"/>
      <c r="G84" s="12"/>
      <c r="H84" s="12"/>
      <c r="I84" s="12"/>
      <c r="J84" s="12"/>
      <c r="K84" s="23"/>
      <c r="L84" s="12"/>
      <c r="M84" s="12"/>
      <c r="N84" s="13"/>
    </row>
  </sheetData>
  <mergeCells count="2">
    <mergeCell ref="A1:N2"/>
    <mergeCell ref="A3:N3"/>
  </mergeCells>
  <conditionalFormatting sqref="G5:G84">
    <cfRule type="expression" dxfId="3" priority="1">
      <formula>G5="Crítico"</formula>
    </cfRule>
    <cfRule type="expression" dxfId="2" priority="2">
      <formula>G5="Alto"</formula>
    </cfRule>
    <cfRule type="expression" dxfId="1" priority="3">
      <formula>G5="Medio"</formula>
    </cfRule>
    <cfRule type="expression" dxfId="0" priority="4">
      <formula>G5="Bajo"</formula>
    </cfRule>
  </conditionalFormatting>
  <dataValidations count="3">
    <dataValidation type="list" sqref="E5:E84" xr:uid="{00000000-0002-0000-0700-000000000000}">
      <formula1>"Baja,Media,Alta"</formula1>
    </dataValidation>
    <dataValidation type="list" sqref="F5:F84" xr:uid="{00000000-0002-0000-0700-000001000000}">
      <formula1>"Bajo,Medio,Alto"</formula1>
    </dataValidation>
    <dataValidation type="list" sqref="L5:L84" xr:uid="{00000000-0002-0000-0700-000003000000}">
      <formula1>"Pendiente,En análisis,En ejecución,Resuelto"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Listas!$G$2:$G$5</xm:f>
          </x14:formula1>
          <xm:sqref>G5:G84 M5:M84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4"/>
  <sheetViews>
    <sheetView workbookViewId="0">
      <selection sqref="A1:P2"/>
    </sheetView>
  </sheetViews>
  <sheetFormatPr baseColWidth="10" defaultColWidth="8.6640625" defaultRowHeight="14"/>
  <cols>
    <col min="1" max="1" width="12" customWidth="1"/>
    <col min="2" max="2" width="22" customWidth="1"/>
    <col min="3" max="3" width="45" customWidth="1"/>
    <col min="4" max="4" width="35" customWidth="1"/>
    <col min="5" max="12" width="18" customWidth="1"/>
    <col min="13" max="13" width="22" customWidth="1"/>
    <col min="14" max="14" width="16" customWidth="1"/>
    <col min="15" max="15" width="17" customWidth="1"/>
    <col min="16" max="16" width="35" customWidth="1"/>
  </cols>
  <sheetData>
    <row r="1" spans="1:16" ht="20" customHeight="1">
      <c r="A1" s="94" t="s">
        <v>194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16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6" ht="29.4" customHeight="1">
      <c r="A3" s="98" t="s">
        <v>195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1:16" ht="28">
      <c r="A4" s="1" t="s">
        <v>109</v>
      </c>
      <c r="B4" s="2" t="s">
        <v>196</v>
      </c>
      <c r="C4" s="2" t="s">
        <v>197</v>
      </c>
      <c r="D4" s="2" t="s">
        <v>198</v>
      </c>
      <c r="E4" s="2" t="s">
        <v>199</v>
      </c>
      <c r="F4" s="2" t="s">
        <v>200</v>
      </c>
      <c r="G4" s="2" t="s">
        <v>201</v>
      </c>
      <c r="H4" s="2" t="s">
        <v>202</v>
      </c>
      <c r="I4" s="2" t="s">
        <v>203</v>
      </c>
      <c r="J4" s="2" t="s">
        <v>204</v>
      </c>
      <c r="K4" s="2" t="s">
        <v>205</v>
      </c>
      <c r="L4" s="2" t="s">
        <v>206</v>
      </c>
      <c r="M4" s="2" t="s">
        <v>193</v>
      </c>
      <c r="N4" s="2" t="s">
        <v>182</v>
      </c>
      <c r="O4" s="2" t="s">
        <v>177</v>
      </c>
      <c r="P4" s="3" t="s">
        <v>123</v>
      </c>
    </row>
    <row r="5" spans="1:16" ht="28">
      <c r="A5" s="5" t="str">
        <f t="shared" ref="A5:A36" si="0">IF(B5="","","DEC-"&amp;TEXT(ROW()-4,"000"))</f>
        <v>DEC-001</v>
      </c>
      <c r="B5" s="6" t="s">
        <v>207</v>
      </c>
      <c r="C5" s="6" t="s">
        <v>208</v>
      </c>
      <c r="D5" s="6"/>
      <c r="E5" s="6" t="s">
        <v>209</v>
      </c>
      <c r="F5" s="6"/>
      <c r="G5" s="6"/>
      <c r="H5" s="6"/>
      <c r="I5" s="6"/>
      <c r="J5" s="6"/>
      <c r="K5" s="6"/>
      <c r="L5" s="6"/>
      <c r="M5" s="6"/>
      <c r="N5" s="21"/>
      <c r="O5" s="6"/>
      <c r="P5" s="7"/>
    </row>
    <row r="6" spans="1:16">
      <c r="A6" s="8" t="str">
        <f t="shared" si="0"/>
        <v>DEC-002</v>
      </c>
      <c r="B6" s="9" t="s">
        <v>207</v>
      </c>
      <c r="C6" s="9" t="s">
        <v>210</v>
      </c>
      <c r="D6" s="9"/>
      <c r="E6" s="9" t="s">
        <v>209</v>
      </c>
      <c r="F6" s="9"/>
      <c r="G6" s="9"/>
      <c r="H6" s="9"/>
      <c r="I6" s="9"/>
      <c r="J6" s="9"/>
      <c r="K6" s="9"/>
      <c r="L6" s="9"/>
      <c r="M6" s="9"/>
      <c r="N6" s="22"/>
      <c r="O6" s="9"/>
      <c r="P6" s="10"/>
    </row>
    <row r="7" spans="1:16" ht="28">
      <c r="A7" s="8" t="str">
        <f t="shared" si="0"/>
        <v>DEC-003</v>
      </c>
      <c r="B7" s="9" t="s">
        <v>211</v>
      </c>
      <c r="C7" s="9" t="s">
        <v>212</v>
      </c>
      <c r="D7" s="9"/>
      <c r="E7" s="9" t="s">
        <v>209</v>
      </c>
      <c r="F7" s="9"/>
      <c r="G7" s="9"/>
      <c r="H7" s="9"/>
      <c r="I7" s="9"/>
      <c r="J7" s="9"/>
      <c r="K7" s="9"/>
      <c r="L7" s="9"/>
      <c r="M7" s="9"/>
      <c r="N7" s="22"/>
      <c r="O7" s="9"/>
      <c r="P7" s="10"/>
    </row>
    <row r="8" spans="1:16" ht="28">
      <c r="A8" s="8" t="str">
        <f t="shared" si="0"/>
        <v>DEC-004</v>
      </c>
      <c r="B8" s="9" t="s">
        <v>211</v>
      </c>
      <c r="C8" s="9" t="s">
        <v>213</v>
      </c>
      <c r="D8" s="9"/>
      <c r="E8" s="9" t="s">
        <v>209</v>
      </c>
      <c r="F8" s="9"/>
      <c r="G8" s="9"/>
      <c r="H8" s="9"/>
      <c r="I8" s="9"/>
      <c r="J8" s="9"/>
      <c r="K8" s="9"/>
      <c r="L8" s="9"/>
      <c r="M8" s="9"/>
      <c r="N8" s="22"/>
      <c r="O8" s="9"/>
      <c r="P8" s="10"/>
    </row>
    <row r="9" spans="1:16" ht="28">
      <c r="A9" s="8" t="str">
        <f t="shared" si="0"/>
        <v>DEC-005</v>
      </c>
      <c r="B9" s="9" t="s">
        <v>214</v>
      </c>
      <c r="C9" s="9" t="s">
        <v>215</v>
      </c>
      <c r="D9" s="9"/>
      <c r="E9" s="9" t="s">
        <v>209</v>
      </c>
      <c r="F9" s="9"/>
      <c r="G9" s="9"/>
      <c r="H9" s="9"/>
      <c r="I9" s="9"/>
      <c r="J9" s="9"/>
      <c r="K9" s="9"/>
      <c r="L9" s="9"/>
      <c r="M9" s="9"/>
      <c r="N9" s="22"/>
      <c r="O9" s="9"/>
      <c r="P9" s="10"/>
    </row>
    <row r="10" spans="1:16" ht="28">
      <c r="A10" s="8" t="str">
        <f t="shared" si="0"/>
        <v>DEC-006</v>
      </c>
      <c r="B10" s="9" t="s">
        <v>216</v>
      </c>
      <c r="C10" s="9" t="s">
        <v>217</v>
      </c>
      <c r="D10" s="9"/>
      <c r="E10" s="9" t="s">
        <v>209</v>
      </c>
      <c r="F10" s="9"/>
      <c r="G10" s="9"/>
      <c r="H10" s="9"/>
      <c r="I10" s="9"/>
      <c r="J10" s="9"/>
      <c r="K10" s="9"/>
      <c r="L10" s="9"/>
      <c r="M10" s="9"/>
      <c r="N10" s="22"/>
      <c r="O10" s="9"/>
      <c r="P10" s="10"/>
    </row>
    <row r="11" spans="1:16" ht="28">
      <c r="A11" s="8" t="str">
        <f t="shared" si="0"/>
        <v>DEC-007</v>
      </c>
      <c r="B11" s="9" t="s">
        <v>218</v>
      </c>
      <c r="C11" s="9" t="s">
        <v>219</v>
      </c>
      <c r="D11" s="9"/>
      <c r="E11" s="9" t="s">
        <v>209</v>
      </c>
      <c r="F11" s="9"/>
      <c r="G11" s="9"/>
      <c r="H11" s="9"/>
      <c r="I11" s="9"/>
      <c r="J11" s="9"/>
      <c r="K11" s="9"/>
      <c r="L11" s="9"/>
      <c r="M11" s="9"/>
      <c r="N11" s="22"/>
      <c r="O11" s="9"/>
      <c r="P11" s="10"/>
    </row>
    <row r="12" spans="1:16" ht="28">
      <c r="A12" s="8" t="str">
        <f t="shared" si="0"/>
        <v>DEC-008</v>
      </c>
      <c r="B12" s="9" t="s">
        <v>220</v>
      </c>
      <c r="C12" s="9" t="s">
        <v>221</v>
      </c>
      <c r="D12" s="9"/>
      <c r="E12" s="9" t="s">
        <v>209</v>
      </c>
      <c r="F12" s="9"/>
      <c r="G12" s="9"/>
      <c r="H12" s="9"/>
      <c r="I12" s="9"/>
      <c r="J12" s="9"/>
      <c r="K12" s="9"/>
      <c r="L12" s="9"/>
      <c r="M12" s="9"/>
      <c r="N12" s="22"/>
      <c r="O12" s="9"/>
      <c r="P12" s="10"/>
    </row>
    <row r="13" spans="1:16" ht="28">
      <c r="A13" s="8" t="str">
        <f t="shared" si="0"/>
        <v>DEC-009</v>
      </c>
      <c r="B13" s="9" t="s">
        <v>222</v>
      </c>
      <c r="C13" s="9" t="s">
        <v>223</v>
      </c>
      <c r="D13" s="9"/>
      <c r="E13" s="9" t="s">
        <v>209</v>
      </c>
      <c r="F13" s="9"/>
      <c r="G13" s="9"/>
      <c r="H13" s="9"/>
      <c r="I13" s="9"/>
      <c r="J13" s="9"/>
      <c r="K13" s="9"/>
      <c r="L13" s="9"/>
      <c r="M13" s="9"/>
      <c r="N13" s="22"/>
      <c r="O13" s="9"/>
      <c r="P13" s="10"/>
    </row>
    <row r="14" spans="1:16" ht="28">
      <c r="A14" s="8" t="str">
        <f t="shared" si="0"/>
        <v>DEC-010</v>
      </c>
      <c r="B14" s="9" t="s">
        <v>224</v>
      </c>
      <c r="C14" s="9" t="s">
        <v>225</v>
      </c>
      <c r="D14" s="9"/>
      <c r="E14" s="9" t="s">
        <v>209</v>
      </c>
      <c r="F14" s="9"/>
      <c r="G14" s="9"/>
      <c r="H14" s="9"/>
      <c r="I14" s="9"/>
      <c r="J14" s="9"/>
      <c r="K14" s="9"/>
      <c r="L14" s="9"/>
      <c r="M14" s="9"/>
      <c r="N14" s="22"/>
      <c r="O14" s="9"/>
      <c r="P14" s="10"/>
    </row>
    <row r="15" spans="1:16" ht="28">
      <c r="A15" s="8" t="str">
        <f t="shared" si="0"/>
        <v>DEC-011</v>
      </c>
      <c r="B15" s="9" t="s">
        <v>226</v>
      </c>
      <c r="C15" s="9" t="s">
        <v>227</v>
      </c>
      <c r="D15" s="9"/>
      <c r="E15" s="9" t="s">
        <v>209</v>
      </c>
      <c r="F15" s="9"/>
      <c r="G15" s="9"/>
      <c r="H15" s="9"/>
      <c r="I15" s="9"/>
      <c r="J15" s="9"/>
      <c r="K15" s="9"/>
      <c r="L15" s="9"/>
      <c r="M15" s="9"/>
      <c r="N15" s="22"/>
      <c r="O15" s="9"/>
      <c r="P15" s="10"/>
    </row>
    <row r="16" spans="1:16" ht="28">
      <c r="A16" s="8" t="str">
        <f t="shared" si="0"/>
        <v>DEC-012</v>
      </c>
      <c r="B16" s="9" t="s">
        <v>228</v>
      </c>
      <c r="C16" s="9" t="s">
        <v>229</v>
      </c>
      <c r="D16" s="9"/>
      <c r="E16" s="9" t="s">
        <v>209</v>
      </c>
      <c r="F16" s="9"/>
      <c r="G16" s="9"/>
      <c r="H16" s="9"/>
      <c r="I16" s="9"/>
      <c r="J16" s="9"/>
      <c r="K16" s="9"/>
      <c r="L16" s="9"/>
      <c r="M16" s="9"/>
      <c r="N16" s="22"/>
      <c r="O16" s="9"/>
      <c r="P16" s="10"/>
    </row>
    <row r="17" spans="1:16">
      <c r="A17" s="8" t="str">
        <f t="shared" si="0"/>
        <v/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22"/>
      <c r="O17" s="9"/>
      <c r="P17" s="10"/>
    </row>
    <row r="18" spans="1:16">
      <c r="A18" s="8" t="str">
        <f t="shared" si="0"/>
        <v/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22"/>
      <c r="O18" s="9"/>
      <c r="P18" s="10"/>
    </row>
    <row r="19" spans="1:16">
      <c r="A19" s="8" t="str">
        <f t="shared" si="0"/>
        <v/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22"/>
      <c r="O19" s="9"/>
      <c r="P19" s="10"/>
    </row>
    <row r="20" spans="1:16">
      <c r="A20" s="8" t="str">
        <f t="shared" si="0"/>
        <v/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22"/>
      <c r="O20" s="9"/>
      <c r="P20" s="10"/>
    </row>
    <row r="21" spans="1:16">
      <c r="A21" s="8" t="str">
        <f t="shared" si="0"/>
        <v/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22"/>
      <c r="O21" s="9"/>
      <c r="P21" s="10"/>
    </row>
    <row r="22" spans="1:16">
      <c r="A22" s="8" t="str">
        <f t="shared" si="0"/>
        <v/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22"/>
      <c r="O22" s="9"/>
      <c r="P22" s="10"/>
    </row>
    <row r="23" spans="1:16">
      <c r="A23" s="8" t="str">
        <f t="shared" si="0"/>
        <v/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22"/>
      <c r="O23" s="9"/>
      <c r="P23" s="10"/>
    </row>
    <row r="24" spans="1:16">
      <c r="A24" s="8" t="str">
        <f t="shared" si="0"/>
        <v/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22"/>
      <c r="O24" s="9"/>
      <c r="P24" s="10"/>
    </row>
    <row r="25" spans="1:16">
      <c r="A25" s="8" t="str">
        <f t="shared" si="0"/>
        <v/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22"/>
      <c r="O25" s="9"/>
      <c r="P25" s="10"/>
    </row>
    <row r="26" spans="1:16">
      <c r="A26" s="8" t="str">
        <f t="shared" si="0"/>
        <v/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22"/>
      <c r="O26" s="9"/>
      <c r="P26" s="10"/>
    </row>
    <row r="27" spans="1:16">
      <c r="A27" s="8" t="str">
        <f t="shared" si="0"/>
        <v/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22"/>
      <c r="O27" s="9"/>
      <c r="P27" s="10"/>
    </row>
    <row r="28" spans="1:16">
      <c r="A28" s="8" t="str">
        <f t="shared" si="0"/>
        <v/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22"/>
      <c r="O28" s="9"/>
      <c r="P28" s="10"/>
    </row>
    <row r="29" spans="1:16">
      <c r="A29" s="8" t="str">
        <f t="shared" si="0"/>
        <v/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22"/>
      <c r="O29" s="9"/>
      <c r="P29" s="10"/>
    </row>
    <row r="30" spans="1:16">
      <c r="A30" s="8" t="str">
        <f t="shared" si="0"/>
        <v/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22"/>
      <c r="O30" s="9"/>
      <c r="P30" s="10"/>
    </row>
    <row r="31" spans="1:16">
      <c r="A31" s="8" t="str">
        <f t="shared" si="0"/>
        <v/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22"/>
      <c r="O31" s="9"/>
      <c r="P31" s="10"/>
    </row>
    <row r="32" spans="1:16">
      <c r="A32" s="8" t="str">
        <f t="shared" si="0"/>
        <v/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22"/>
      <c r="O32" s="9"/>
      <c r="P32" s="10"/>
    </row>
    <row r="33" spans="1:16">
      <c r="A33" s="8" t="str">
        <f t="shared" si="0"/>
        <v/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22"/>
      <c r="O33" s="9"/>
      <c r="P33" s="10"/>
    </row>
    <row r="34" spans="1:16">
      <c r="A34" s="8" t="str">
        <f t="shared" si="0"/>
        <v/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22"/>
      <c r="O34" s="9"/>
      <c r="P34" s="10"/>
    </row>
    <row r="35" spans="1:16">
      <c r="A35" s="8" t="str">
        <f t="shared" si="0"/>
        <v/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22"/>
      <c r="O35" s="9"/>
      <c r="P35" s="10"/>
    </row>
    <row r="36" spans="1:16">
      <c r="A36" s="8" t="str">
        <f t="shared" si="0"/>
        <v/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22"/>
      <c r="O36" s="9"/>
      <c r="P36" s="10"/>
    </row>
    <row r="37" spans="1:16">
      <c r="A37" s="8" t="str">
        <f t="shared" ref="A37:A68" si="1">IF(B37="","","DEC-"&amp;TEXT(ROW()-4,"000"))</f>
        <v/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22"/>
      <c r="O37" s="9"/>
      <c r="P37" s="10"/>
    </row>
    <row r="38" spans="1:16">
      <c r="A38" s="8" t="str">
        <f t="shared" si="1"/>
        <v/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22"/>
      <c r="O38" s="9"/>
      <c r="P38" s="10"/>
    </row>
    <row r="39" spans="1:16">
      <c r="A39" s="8" t="str">
        <f t="shared" si="1"/>
        <v/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22"/>
      <c r="O39" s="9"/>
      <c r="P39" s="10"/>
    </row>
    <row r="40" spans="1:16">
      <c r="A40" s="8" t="str">
        <f t="shared" si="1"/>
        <v/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22"/>
      <c r="O40" s="9"/>
      <c r="P40" s="10"/>
    </row>
    <row r="41" spans="1:16">
      <c r="A41" s="8" t="str">
        <f t="shared" si="1"/>
        <v/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22"/>
      <c r="O41" s="9"/>
      <c r="P41" s="10"/>
    </row>
    <row r="42" spans="1:16">
      <c r="A42" s="8" t="str">
        <f t="shared" si="1"/>
        <v/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22"/>
      <c r="O42" s="9"/>
      <c r="P42" s="10"/>
    </row>
    <row r="43" spans="1:16">
      <c r="A43" s="8" t="str">
        <f t="shared" si="1"/>
        <v/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22"/>
      <c r="O43" s="9"/>
      <c r="P43" s="10"/>
    </row>
    <row r="44" spans="1:16">
      <c r="A44" s="8" t="str">
        <f t="shared" si="1"/>
        <v/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22"/>
      <c r="O44" s="9"/>
      <c r="P44" s="10"/>
    </row>
    <row r="45" spans="1:16">
      <c r="A45" s="8" t="str">
        <f t="shared" si="1"/>
        <v/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/>
      <c r="O45" s="9"/>
      <c r="P45" s="10"/>
    </row>
    <row r="46" spans="1:16">
      <c r="A46" s="8" t="str">
        <f t="shared" si="1"/>
        <v/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22"/>
      <c r="O46" s="9"/>
      <c r="P46" s="10"/>
    </row>
    <row r="47" spans="1:16">
      <c r="A47" s="8" t="str">
        <f t="shared" si="1"/>
        <v/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22"/>
      <c r="O47" s="9"/>
      <c r="P47" s="10"/>
    </row>
    <row r="48" spans="1:16">
      <c r="A48" s="8" t="str">
        <f t="shared" si="1"/>
        <v/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22"/>
      <c r="O48" s="9"/>
      <c r="P48" s="10"/>
    </row>
    <row r="49" spans="1:16">
      <c r="A49" s="8" t="str">
        <f t="shared" si="1"/>
        <v/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22"/>
      <c r="O49" s="9"/>
      <c r="P49" s="10"/>
    </row>
    <row r="50" spans="1:16">
      <c r="A50" s="8" t="str">
        <f t="shared" si="1"/>
        <v/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22"/>
      <c r="O50" s="9"/>
      <c r="P50" s="10"/>
    </row>
    <row r="51" spans="1:16">
      <c r="A51" s="8" t="str">
        <f t="shared" si="1"/>
        <v/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/>
      <c r="O51" s="9"/>
      <c r="P51" s="10"/>
    </row>
    <row r="52" spans="1:16">
      <c r="A52" s="8" t="str">
        <f t="shared" si="1"/>
        <v/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22"/>
      <c r="O52" s="9"/>
      <c r="P52" s="10"/>
    </row>
    <row r="53" spans="1:16">
      <c r="A53" s="8" t="str">
        <f t="shared" si="1"/>
        <v/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22"/>
      <c r="O53" s="9"/>
      <c r="P53" s="10"/>
    </row>
    <row r="54" spans="1:16">
      <c r="A54" s="8" t="str">
        <f t="shared" si="1"/>
        <v/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22"/>
      <c r="O54" s="9"/>
      <c r="P54" s="10"/>
    </row>
    <row r="55" spans="1:16">
      <c r="A55" s="8" t="str">
        <f t="shared" si="1"/>
        <v/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22"/>
      <c r="O55" s="9"/>
      <c r="P55" s="10"/>
    </row>
    <row r="56" spans="1:16">
      <c r="A56" s="8" t="str">
        <f t="shared" si="1"/>
        <v/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22"/>
      <c r="O56" s="9"/>
      <c r="P56" s="10"/>
    </row>
    <row r="57" spans="1:16">
      <c r="A57" s="8" t="str">
        <f t="shared" si="1"/>
        <v/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22"/>
      <c r="O57" s="9"/>
      <c r="P57" s="10"/>
    </row>
    <row r="58" spans="1:16">
      <c r="A58" s="8" t="str">
        <f t="shared" si="1"/>
        <v/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22"/>
      <c r="O58" s="9"/>
      <c r="P58" s="10"/>
    </row>
    <row r="59" spans="1:16">
      <c r="A59" s="8" t="str">
        <f t="shared" si="1"/>
        <v/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22"/>
      <c r="O59" s="9"/>
      <c r="P59" s="10"/>
    </row>
    <row r="60" spans="1:16">
      <c r="A60" s="8" t="str">
        <f t="shared" si="1"/>
        <v/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22"/>
      <c r="O60" s="9"/>
      <c r="P60" s="10"/>
    </row>
    <row r="61" spans="1:16">
      <c r="A61" s="8" t="str">
        <f t="shared" si="1"/>
        <v/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22"/>
      <c r="O61" s="9"/>
      <c r="P61" s="10"/>
    </row>
    <row r="62" spans="1:16">
      <c r="A62" s="8" t="str">
        <f t="shared" si="1"/>
        <v/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22"/>
      <c r="O62" s="9"/>
      <c r="P62" s="10"/>
    </row>
    <row r="63" spans="1:16">
      <c r="A63" s="8" t="str">
        <f t="shared" si="1"/>
        <v/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22"/>
      <c r="O63" s="9"/>
      <c r="P63" s="10"/>
    </row>
    <row r="64" spans="1:16">
      <c r="A64" s="8" t="str">
        <f t="shared" si="1"/>
        <v/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22"/>
      <c r="O64" s="9"/>
      <c r="P64" s="10"/>
    </row>
    <row r="65" spans="1:16">
      <c r="A65" s="8" t="str">
        <f t="shared" si="1"/>
        <v/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22"/>
      <c r="O65" s="9"/>
      <c r="P65" s="10"/>
    </row>
    <row r="66" spans="1:16">
      <c r="A66" s="8" t="str">
        <f t="shared" si="1"/>
        <v/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22"/>
      <c r="O66" s="9"/>
      <c r="P66" s="10"/>
    </row>
    <row r="67" spans="1:16">
      <c r="A67" s="8" t="str">
        <f t="shared" si="1"/>
        <v/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22"/>
      <c r="O67" s="9"/>
      <c r="P67" s="10"/>
    </row>
    <row r="68" spans="1:16">
      <c r="A68" s="8" t="str">
        <f t="shared" si="1"/>
        <v/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22"/>
      <c r="O68" s="9"/>
      <c r="P68" s="10"/>
    </row>
    <row r="69" spans="1:16">
      <c r="A69" s="8" t="str">
        <f t="shared" ref="A69:A84" si="2">IF(B69="","","DEC-"&amp;TEXT(ROW()-4,"000"))</f>
        <v/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22"/>
      <c r="O69" s="9"/>
      <c r="P69" s="10"/>
    </row>
    <row r="70" spans="1:16">
      <c r="A70" s="8" t="str">
        <f t="shared" si="2"/>
        <v/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22"/>
      <c r="O70" s="9"/>
      <c r="P70" s="10"/>
    </row>
    <row r="71" spans="1:16">
      <c r="A71" s="8" t="str">
        <f t="shared" si="2"/>
        <v/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22"/>
      <c r="O71" s="9"/>
      <c r="P71" s="10"/>
    </row>
    <row r="72" spans="1:16">
      <c r="A72" s="8" t="str">
        <f t="shared" si="2"/>
        <v/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22"/>
      <c r="O72" s="9"/>
      <c r="P72" s="10"/>
    </row>
    <row r="73" spans="1:16">
      <c r="A73" s="8" t="str">
        <f t="shared" si="2"/>
        <v/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22"/>
      <c r="O73" s="9"/>
      <c r="P73" s="10"/>
    </row>
    <row r="74" spans="1:16">
      <c r="A74" s="8" t="str">
        <f t="shared" si="2"/>
        <v/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22"/>
      <c r="O74" s="9"/>
      <c r="P74" s="10"/>
    </row>
    <row r="75" spans="1:16">
      <c r="A75" s="8" t="str">
        <f t="shared" si="2"/>
        <v/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22"/>
      <c r="O75" s="9"/>
      <c r="P75" s="10"/>
    </row>
    <row r="76" spans="1:16">
      <c r="A76" s="8" t="str">
        <f t="shared" si="2"/>
        <v/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22"/>
      <c r="O76" s="9"/>
      <c r="P76" s="10"/>
    </row>
    <row r="77" spans="1:16">
      <c r="A77" s="8" t="str">
        <f t="shared" si="2"/>
        <v/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22"/>
      <c r="O77" s="9"/>
      <c r="P77" s="10"/>
    </row>
    <row r="78" spans="1:16">
      <c r="A78" s="8" t="str">
        <f t="shared" si="2"/>
        <v/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22"/>
      <c r="O78" s="9"/>
      <c r="P78" s="10"/>
    </row>
    <row r="79" spans="1:16">
      <c r="A79" s="8" t="str">
        <f t="shared" si="2"/>
        <v/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22"/>
      <c r="O79" s="9"/>
      <c r="P79" s="10"/>
    </row>
    <row r="80" spans="1:16">
      <c r="A80" s="8" t="str">
        <f t="shared" si="2"/>
        <v/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22"/>
      <c r="O80" s="9"/>
      <c r="P80" s="10"/>
    </row>
    <row r="81" spans="1:16">
      <c r="A81" s="8" t="str">
        <f t="shared" si="2"/>
        <v/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22"/>
      <c r="O81" s="9"/>
      <c r="P81" s="10"/>
    </row>
    <row r="82" spans="1:16">
      <c r="A82" s="8" t="str">
        <f t="shared" si="2"/>
        <v/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22"/>
      <c r="O82" s="9"/>
      <c r="P82" s="10"/>
    </row>
    <row r="83" spans="1:16">
      <c r="A83" s="8" t="str">
        <f t="shared" si="2"/>
        <v/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22"/>
      <c r="O83" s="9"/>
      <c r="P83" s="10"/>
    </row>
    <row r="84" spans="1:16">
      <c r="A84" s="11" t="str">
        <f t="shared" si="2"/>
        <v/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23"/>
      <c r="O84" s="12"/>
      <c r="P84" s="13"/>
    </row>
  </sheetData>
  <mergeCells count="2">
    <mergeCell ref="A1:P2"/>
    <mergeCell ref="A3:P3"/>
  </mergeCells>
  <dataValidations count="2">
    <dataValidation type="list" sqref="E5:L84" xr:uid="{00000000-0002-0000-0800-000000000000}">
      <formula1>"Sí,No,Por definir,No aplica"</formula1>
    </dataValidation>
    <dataValidation type="list" sqref="O5:O84" xr:uid="{00000000-0002-0000-0800-000008000000}">
      <formula1>"Pendiente,En discusión,Aprobada,Implementada"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workbookViewId="0">
      <selection sqref="A1:J2"/>
    </sheetView>
  </sheetViews>
  <sheetFormatPr baseColWidth="10" defaultColWidth="8.6640625" defaultRowHeight="14"/>
  <cols>
    <col min="1" max="1" width="27" customWidth="1"/>
    <col min="2" max="3" width="17" customWidth="1"/>
    <col min="4" max="4" width="48" customWidth="1"/>
    <col min="5" max="5" width="4" customWidth="1"/>
    <col min="6" max="6" width="10" customWidth="1"/>
    <col min="7" max="7" width="48" customWidth="1"/>
    <col min="8" max="8" width="24" customWidth="1"/>
    <col min="9" max="10" width="15" customWidth="1"/>
  </cols>
  <sheetData>
    <row r="1" spans="1:10" ht="20" customHeight="1">
      <c r="A1" s="94" t="s">
        <v>230</v>
      </c>
      <c r="B1" s="95"/>
      <c r="C1" s="95"/>
      <c r="D1" s="95"/>
      <c r="E1" s="95"/>
      <c r="F1" s="95"/>
      <c r="G1" s="95"/>
      <c r="H1" s="95"/>
      <c r="I1" s="95"/>
      <c r="J1" s="95"/>
    </row>
    <row r="2" spans="1:10">
      <c r="A2" s="95"/>
      <c r="B2" s="95"/>
      <c r="C2" s="95"/>
      <c r="D2" s="95"/>
      <c r="E2" s="95"/>
      <c r="F2" s="95"/>
      <c r="G2" s="95"/>
      <c r="H2" s="95"/>
      <c r="I2" s="95"/>
      <c r="J2" s="95"/>
    </row>
    <row r="3" spans="1:10" ht="29.4" customHeight="1">
      <c r="A3" s="98" t="s">
        <v>231</v>
      </c>
      <c r="B3" s="98"/>
      <c r="C3" s="98"/>
      <c r="D3" s="98"/>
      <c r="E3" s="98"/>
      <c r="F3" s="98"/>
      <c r="G3" s="98"/>
      <c r="H3" s="98"/>
      <c r="I3" s="98"/>
      <c r="J3" s="98"/>
    </row>
    <row r="4" spans="1:10">
      <c r="A4" s="1" t="s">
        <v>232</v>
      </c>
      <c r="B4" s="2" t="s">
        <v>233</v>
      </c>
      <c r="C4" s="2" t="s">
        <v>234</v>
      </c>
      <c r="D4" s="3" t="s">
        <v>235</v>
      </c>
      <c r="F4" s="96" t="s">
        <v>236</v>
      </c>
      <c r="G4" s="96"/>
      <c r="H4" s="96"/>
      <c r="I4" s="96"/>
      <c r="J4" s="96"/>
    </row>
    <row r="5" spans="1:10">
      <c r="A5" s="5" t="s">
        <v>237</v>
      </c>
      <c r="B5" s="14">
        <f>COUNTA('01_Familia'!B5:B54)</f>
        <v>4</v>
      </c>
      <c r="C5" s="14">
        <f>COUNTIF('01_Familia'!F5:F54,"Por confirmar")</f>
        <v>0</v>
      </c>
      <c r="D5" s="7" t="s">
        <v>238</v>
      </c>
      <c r="F5" s="1" t="s">
        <v>52</v>
      </c>
      <c r="G5" s="2" t="s">
        <v>239</v>
      </c>
      <c r="H5" s="3" t="s">
        <v>240</v>
      </c>
    </row>
    <row r="6" spans="1:10">
      <c r="A6" s="8" t="s">
        <v>241</v>
      </c>
      <c r="B6" s="15">
        <f>COUNTA('02_Empresas'!B5:B34)</f>
        <v>2</v>
      </c>
      <c r="C6" s="15">
        <f>COUNTIF('02_Empresas'!N5:N34,"No")+COUNTIF('02_Empresas'!N5:N34,"No sabe")</f>
        <v>2</v>
      </c>
      <c r="D6" s="10" t="s">
        <v>242</v>
      </c>
      <c r="F6" s="5" t="s">
        <v>56</v>
      </c>
      <c r="G6" s="6" t="s">
        <v>243</v>
      </c>
      <c r="H6" s="7" t="s">
        <v>244</v>
      </c>
    </row>
    <row r="7" spans="1:10">
      <c r="A7" s="8" t="s">
        <v>245</v>
      </c>
      <c r="B7" s="15">
        <f>COUNTA('03_Accionistas'!B5:B104)</f>
        <v>100</v>
      </c>
      <c r="C7" s="15">
        <f>COUNTIF('03_Accionistas'!N5:N104,"No")+COUNTIF('03_Accionistas'!N5:N104,"No sabe")</f>
        <v>8</v>
      </c>
      <c r="D7" s="10" t="s">
        <v>246</v>
      </c>
      <c r="F7" s="8" t="s">
        <v>60</v>
      </c>
      <c r="G7" s="9" t="s">
        <v>247</v>
      </c>
      <c r="H7" s="10" t="s">
        <v>248</v>
      </c>
    </row>
    <row r="8" spans="1:10">
      <c r="A8" s="8" t="s">
        <v>249</v>
      </c>
      <c r="B8" s="15">
        <f>COUNTA('04_Patrimonio'!B5:B84)</f>
        <v>1</v>
      </c>
      <c r="C8" s="15">
        <f>COUNTIF('04_Patrimonio'!P5:P84,"Crítico")+COUNTIF('04_Patrimonio'!P5:P84,"Alto")</f>
        <v>0</v>
      </c>
      <c r="D8" s="10" t="s">
        <v>250</v>
      </c>
      <c r="F8" s="8" t="s">
        <v>64</v>
      </c>
      <c r="G8" s="9" t="s">
        <v>251</v>
      </c>
      <c r="H8" s="10" t="s">
        <v>252</v>
      </c>
    </row>
    <row r="9" spans="1:10">
      <c r="A9" s="8" t="s">
        <v>253</v>
      </c>
      <c r="B9" s="15">
        <f>COUNTA('05_Documentos'!B5:B104)</f>
        <v>0</v>
      </c>
      <c r="C9" s="15">
        <f>COUNTIF('05_Documentos'!E5:E104,"No")+COUNTIF('05_Documentos'!J5:J104,"Sí")</f>
        <v>0</v>
      </c>
      <c r="D9" s="10" t="s">
        <v>254</v>
      </c>
      <c r="F9" s="8" t="s">
        <v>68</v>
      </c>
      <c r="G9" s="9" t="s">
        <v>255</v>
      </c>
      <c r="H9" s="10" t="s">
        <v>256</v>
      </c>
    </row>
    <row r="10" spans="1:10">
      <c r="A10" s="8" t="s">
        <v>257</v>
      </c>
      <c r="B10" s="15">
        <f>COUNTA('06_Riesgos'!B5:B84)</f>
        <v>0</v>
      </c>
      <c r="C10" s="15">
        <f>COUNTIF('06_Riesgos'!G5:G84,"Crítico")+COUNTIF('06_Riesgos'!G5:G84,"Alto")</f>
        <v>0</v>
      </c>
      <c r="D10" s="10" t="s">
        <v>258</v>
      </c>
      <c r="F10" s="11" t="s">
        <v>72</v>
      </c>
      <c r="G10" s="12" t="s">
        <v>259</v>
      </c>
      <c r="H10" s="13" t="s">
        <v>260</v>
      </c>
    </row>
    <row r="11" spans="1:10">
      <c r="A11" s="11" t="s">
        <v>261</v>
      </c>
      <c r="B11" s="16">
        <f>COUNTA('07_Decisiones'!B5:B84)</f>
        <v>12</v>
      </c>
      <c r="C11" s="16">
        <f>COUNTIF('07_Decisiones'!E5:E84,"Por definir")+COUNTIF('07_Decisiones'!O5:O84,"Pendiente")</f>
        <v>12</v>
      </c>
      <c r="D11" s="13" t="s">
        <v>262</v>
      </c>
    </row>
    <row r="14" spans="1:10">
      <c r="A14" s="96" t="s">
        <v>263</v>
      </c>
      <c r="B14" s="96"/>
      <c r="C14" s="96"/>
      <c r="D14" s="96"/>
      <c r="E14" s="96"/>
      <c r="F14" s="96"/>
      <c r="G14" s="96"/>
      <c r="H14" s="96"/>
      <c r="I14" s="96"/>
      <c r="J14" s="96"/>
    </row>
    <row r="15" spans="1:10">
      <c r="A15" s="1" t="s">
        <v>264</v>
      </c>
      <c r="B15" s="2" t="s">
        <v>265</v>
      </c>
      <c r="C15" s="3" t="s">
        <v>266</v>
      </c>
    </row>
    <row r="16" spans="1:10" ht="42">
      <c r="A16" s="24" t="s">
        <v>14</v>
      </c>
      <c r="B16" s="6" t="s">
        <v>267</v>
      </c>
      <c r="C16" s="7" t="s">
        <v>268</v>
      </c>
    </row>
    <row r="17" spans="1:3" ht="42">
      <c r="A17" s="25" t="s">
        <v>21</v>
      </c>
      <c r="B17" s="9" t="s">
        <v>269</v>
      </c>
      <c r="C17" s="10" t="s">
        <v>270</v>
      </c>
    </row>
    <row r="18" spans="1:3" ht="42">
      <c r="A18" s="26" t="s">
        <v>271</v>
      </c>
      <c r="B18" s="12" t="s">
        <v>272</v>
      </c>
      <c r="C18" s="13" t="s">
        <v>273</v>
      </c>
    </row>
  </sheetData>
  <mergeCells count="4">
    <mergeCell ref="A1:J2"/>
    <mergeCell ref="F4:J4"/>
    <mergeCell ref="A14:J14"/>
    <mergeCell ref="A3:J3"/>
  </mergeCells>
  <conditionalFormatting sqref="C5:C11">
    <cfRule type="dataBar" priority="1">
      <dataBar>
        <cfvo type="min"/>
        <cfvo type="max"/>
        <color rgb="FF2F5597"/>
      </dataBar>
    </cfRule>
    <cfRule type="dataBar" priority="2">
      <dataBar>
        <cfvo type="min"/>
        <cfvo type="max"/>
        <color rgb="FF2F5597"/>
      </dataBar>
      <extLst>
        <ext xmlns:x14="http://schemas.microsoft.com/office/spreadsheetml/2009/9/main" uri="{B025F937-C7B1-47D3-B67F-A62EFF666E3E}">
          <x14:id>{01A7B7F6-A18C-4A86-AFF8-EBD406B9B102}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A7B7F6-A18C-4A86-AFF8-EBD406B9B102}">
            <x14:dataBar>
              <x14:cfvo type="min"/>
              <x14:cfvo type="max"/>
              <x14:negativeFillColor auto="1"/>
              <x14:axisColor auto="1"/>
            </x14:dataBar>
          </x14:cfRule>
          <xm:sqref>C5:C11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6"/>
  <sheetViews>
    <sheetView workbookViewId="0">
      <selection sqref="A1:G2"/>
    </sheetView>
  </sheetViews>
  <sheetFormatPr baseColWidth="10" defaultColWidth="8.6640625" defaultRowHeight="14"/>
  <cols>
    <col min="1" max="1" width="20" customWidth="1"/>
    <col min="2" max="2" width="29" customWidth="1"/>
    <col min="3" max="3" width="28" customWidth="1"/>
    <col min="4" max="4" width="42" customWidth="1"/>
    <col min="5" max="5" width="30" customWidth="1"/>
    <col min="6" max="6" width="42" customWidth="1"/>
    <col min="7" max="7" width="38" customWidth="1"/>
    <col min="9" max="13" width="20" customWidth="1"/>
  </cols>
  <sheetData>
    <row r="1" spans="1:13" ht="20" customHeight="1">
      <c r="A1" s="100" t="s">
        <v>274</v>
      </c>
      <c r="B1" s="100"/>
      <c r="C1" s="100"/>
      <c r="D1" s="100"/>
      <c r="E1" s="100"/>
      <c r="F1" s="100"/>
      <c r="G1" s="100"/>
      <c r="I1" s="113" t="s">
        <v>275</v>
      </c>
      <c r="J1" s="113"/>
      <c r="K1" s="113"/>
      <c r="L1" s="113"/>
      <c r="M1" s="113"/>
    </row>
    <row r="2" spans="1:13" ht="20" customHeight="1">
      <c r="A2" s="100"/>
      <c r="B2" s="100"/>
      <c r="C2" s="100"/>
      <c r="D2" s="100"/>
      <c r="E2" s="100"/>
      <c r="F2" s="100"/>
      <c r="G2" s="100"/>
      <c r="I2" s="28" t="s">
        <v>144</v>
      </c>
      <c r="J2" s="28" t="s">
        <v>145</v>
      </c>
      <c r="K2" s="28" t="s">
        <v>276</v>
      </c>
      <c r="L2" s="28" t="s">
        <v>277</v>
      </c>
      <c r="M2" s="28" t="s">
        <v>148</v>
      </c>
    </row>
    <row r="3" spans="1:13">
      <c r="A3" s="104" t="s">
        <v>278</v>
      </c>
      <c r="B3" s="105"/>
      <c r="C3" s="105"/>
      <c r="D3" s="105"/>
      <c r="E3" s="105"/>
      <c r="F3" s="105"/>
      <c r="G3" s="106"/>
      <c r="I3" s="50" t="s">
        <v>279</v>
      </c>
      <c r="J3" s="51" t="s">
        <v>280</v>
      </c>
      <c r="K3" s="51" t="s">
        <v>11</v>
      </c>
      <c r="L3" s="51">
        <v>600</v>
      </c>
      <c r="M3" s="56">
        <v>0.6</v>
      </c>
    </row>
    <row r="4" spans="1:13">
      <c r="A4" s="107"/>
      <c r="B4" s="108"/>
      <c r="C4" s="108"/>
      <c r="D4" s="108"/>
      <c r="E4" s="108"/>
      <c r="F4" s="108"/>
      <c r="G4" s="109"/>
      <c r="I4" s="52" t="s">
        <v>279</v>
      </c>
      <c r="J4" s="53" t="s">
        <v>281</v>
      </c>
      <c r="K4" s="53" t="s">
        <v>18</v>
      </c>
      <c r="L4" s="53">
        <v>200</v>
      </c>
      <c r="M4" s="57">
        <v>0.2</v>
      </c>
    </row>
    <row r="5" spans="1:13">
      <c r="A5" s="110"/>
      <c r="B5" s="111"/>
      <c r="C5" s="111"/>
      <c r="D5" s="111"/>
      <c r="E5" s="111"/>
      <c r="F5" s="111"/>
      <c r="G5" s="112"/>
      <c r="I5" s="52" t="s">
        <v>279</v>
      </c>
      <c r="J5" s="53" t="s">
        <v>282</v>
      </c>
      <c r="K5" s="53" t="s">
        <v>18</v>
      </c>
      <c r="L5" s="53">
        <v>200</v>
      </c>
      <c r="M5" s="57">
        <v>0.2</v>
      </c>
    </row>
    <row r="6" spans="1:13">
      <c r="I6" s="52" t="s">
        <v>283</v>
      </c>
      <c r="J6" s="53" t="s">
        <v>280</v>
      </c>
      <c r="K6" s="53" t="s">
        <v>11</v>
      </c>
      <c r="L6" s="53">
        <v>500</v>
      </c>
      <c r="M6" s="57">
        <v>0.5</v>
      </c>
    </row>
    <row r="7" spans="1:13" ht="22.65" customHeight="1">
      <c r="A7" s="28" t="s">
        <v>53</v>
      </c>
      <c r="B7" s="28" t="s">
        <v>91</v>
      </c>
      <c r="C7" s="28" t="s">
        <v>284</v>
      </c>
      <c r="D7" s="28" t="s">
        <v>285</v>
      </c>
      <c r="E7" s="28" t="s">
        <v>286</v>
      </c>
      <c r="F7" s="28" t="s">
        <v>287</v>
      </c>
      <c r="G7" s="28" t="s">
        <v>288</v>
      </c>
      <c r="I7" s="54" t="s">
        <v>283</v>
      </c>
      <c r="J7" s="55" t="s">
        <v>281</v>
      </c>
      <c r="K7" s="55" t="s">
        <v>18</v>
      </c>
      <c r="L7" s="55">
        <v>500</v>
      </c>
      <c r="M7" s="58">
        <v>0.5</v>
      </c>
    </row>
    <row r="8" spans="1:13" ht="41.4" customHeight="1">
      <c r="A8" s="44" t="s">
        <v>59</v>
      </c>
      <c r="B8" s="38" t="s">
        <v>289</v>
      </c>
      <c r="C8" s="47" t="s">
        <v>109</v>
      </c>
      <c r="D8" s="38" t="s">
        <v>290</v>
      </c>
      <c r="E8" s="38" t="s">
        <v>291</v>
      </c>
      <c r="F8" s="38" t="s">
        <v>292</v>
      </c>
      <c r="G8" s="39" t="s">
        <v>293</v>
      </c>
    </row>
    <row r="9" spans="1:13" ht="41.4" customHeight="1">
      <c r="A9" s="45" t="s">
        <v>59</v>
      </c>
      <c r="B9" s="40" t="s">
        <v>289</v>
      </c>
      <c r="C9" s="48" t="s">
        <v>110</v>
      </c>
      <c r="D9" s="40" t="s">
        <v>294</v>
      </c>
      <c r="E9" s="40" t="s">
        <v>295</v>
      </c>
      <c r="F9" s="40" t="s">
        <v>296</v>
      </c>
      <c r="G9" s="41" t="s">
        <v>297</v>
      </c>
      <c r="I9" s="114" t="s">
        <v>298</v>
      </c>
      <c r="J9" s="115"/>
      <c r="K9" s="115"/>
      <c r="L9" s="115"/>
      <c r="M9" s="116"/>
    </row>
    <row r="10" spans="1:13" ht="41.4" customHeight="1">
      <c r="A10" s="45" t="s">
        <v>59</v>
      </c>
      <c r="B10" s="40" t="s">
        <v>289</v>
      </c>
      <c r="C10" s="48" t="s">
        <v>111</v>
      </c>
      <c r="D10" s="40" t="s">
        <v>299</v>
      </c>
      <c r="E10" s="40" t="s">
        <v>300</v>
      </c>
      <c r="F10" s="40" t="s">
        <v>301</v>
      </c>
      <c r="G10" s="41" t="s">
        <v>302</v>
      </c>
      <c r="I10" s="117"/>
      <c r="J10" s="118"/>
      <c r="K10" s="118"/>
      <c r="L10" s="118"/>
      <c r="M10" s="119"/>
    </row>
    <row r="11" spans="1:13" ht="41.4" customHeight="1">
      <c r="A11" s="45" t="s">
        <v>59</v>
      </c>
      <c r="B11" s="40" t="s">
        <v>289</v>
      </c>
      <c r="C11" s="48" t="s">
        <v>112</v>
      </c>
      <c r="D11" s="40" t="s">
        <v>303</v>
      </c>
      <c r="E11" s="40" t="s">
        <v>304</v>
      </c>
      <c r="F11" s="40" t="s">
        <v>305</v>
      </c>
      <c r="G11" s="41" t="s">
        <v>306</v>
      </c>
      <c r="I11" s="120"/>
      <c r="J11" s="121"/>
      <c r="K11" s="121"/>
      <c r="L11" s="121"/>
      <c r="M11" s="122"/>
    </row>
    <row r="12" spans="1:13" ht="41.4" customHeight="1">
      <c r="A12" s="45" t="s">
        <v>59</v>
      </c>
      <c r="B12" s="40" t="s">
        <v>289</v>
      </c>
      <c r="C12" s="48" t="s">
        <v>113</v>
      </c>
      <c r="D12" s="40" t="s">
        <v>307</v>
      </c>
      <c r="E12" s="40" t="s">
        <v>308</v>
      </c>
      <c r="F12" s="40" t="s">
        <v>309</v>
      </c>
      <c r="G12" s="41" t="s">
        <v>310</v>
      </c>
    </row>
    <row r="13" spans="1:13" ht="41.4" customHeight="1">
      <c r="A13" s="45" t="s">
        <v>59</v>
      </c>
      <c r="B13" s="40" t="s">
        <v>289</v>
      </c>
      <c r="C13" s="48" t="s">
        <v>1</v>
      </c>
      <c r="D13" s="40" t="s">
        <v>311</v>
      </c>
      <c r="E13" s="40" t="s">
        <v>312</v>
      </c>
      <c r="F13" s="40" t="s">
        <v>313</v>
      </c>
      <c r="G13" s="41" t="s">
        <v>314</v>
      </c>
    </row>
    <row r="14" spans="1:13" ht="41.4" customHeight="1">
      <c r="A14" s="45" t="s">
        <v>59</v>
      </c>
      <c r="B14" s="40" t="s">
        <v>289</v>
      </c>
      <c r="C14" s="48" t="s">
        <v>114</v>
      </c>
      <c r="D14" s="40" t="s">
        <v>315</v>
      </c>
      <c r="E14" s="40" t="s">
        <v>316</v>
      </c>
      <c r="F14" s="40" t="s">
        <v>317</v>
      </c>
      <c r="G14" s="41" t="s">
        <v>318</v>
      </c>
    </row>
    <row r="15" spans="1:13" ht="41.4" customHeight="1">
      <c r="A15" s="45" t="s">
        <v>59</v>
      </c>
      <c r="B15" s="40" t="s">
        <v>289</v>
      </c>
      <c r="C15" s="48" t="s">
        <v>115</v>
      </c>
      <c r="D15" s="40" t="s">
        <v>319</v>
      </c>
      <c r="E15" s="40" t="s">
        <v>320</v>
      </c>
      <c r="F15" s="40" t="s">
        <v>321</v>
      </c>
      <c r="G15" s="41" t="s">
        <v>322</v>
      </c>
    </row>
    <row r="16" spans="1:13" ht="41.4" customHeight="1">
      <c r="A16" s="45" t="s">
        <v>59</v>
      </c>
      <c r="B16" s="40" t="s">
        <v>289</v>
      </c>
      <c r="C16" s="48" t="s">
        <v>116</v>
      </c>
      <c r="D16" s="40" t="s">
        <v>323</v>
      </c>
      <c r="E16" s="40" t="s">
        <v>15</v>
      </c>
      <c r="F16" s="40" t="s">
        <v>324</v>
      </c>
      <c r="G16" s="41" t="s">
        <v>325</v>
      </c>
    </row>
    <row r="17" spans="1:7" ht="41.4" customHeight="1">
      <c r="A17" s="45" t="s">
        <v>59</v>
      </c>
      <c r="B17" s="40" t="s">
        <v>289</v>
      </c>
      <c r="C17" s="48" t="s">
        <v>117</v>
      </c>
      <c r="D17" s="40" t="s">
        <v>326</v>
      </c>
      <c r="E17" s="40" t="s">
        <v>60</v>
      </c>
      <c r="F17" s="40" t="s">
        <v>327</v>
      </c>
      <c r="G17" s="41" t="s">
        <v>328</v>
      </c>
    </row>
    <row r="18" spans="1:7" ht="41.4" customHeight="1">
      <c r="A18" s="45" t="s">
        <v>59</v>
      </c>
      <c r="B18" s="40" t="s">
        <v>289</v>
      </c>
      <c r="C18" s="48" t="s">
        <v>118</v>
      </c>
      <c r="D18" s="40" t="s">
        <v>329</v>
      </c>
      <c r="E18" s="40" t="s">
        <v>8</v>
      </c>
      <c r="F18" s="40" t="s">
        <v>330</v>
      </c>
      <c r="G18" s="41" t="s">
        <v>331</v>
      </c>
    </row>
    <row r="19" spans="1:7" ht="41.4" customHeight="1">
      <c r="A19" s="45" t="s">
        <v>59</v>
      </c>
      <c r="B19" s="40" t="s">
        <v>289</v>
      </c>
      <c r="C19" s="48" t="s">
        <v>119</v>
      </c>
      <c r="D19" s="40" t="s">
        <v>332</v>
      </c>
      <c r="E19" s="40" t="s">
        <v>333</v>
      </c>
      <c r="F19" s="40" t="s">
        <v>334</v>
      </c>
      <c r="G19" s="41" t="s">
        <v>335</v>
      </c>
    </row>
    <row r="20" spans="1:7" ht="41.4" customHeight="1">
      <c r="A20" s="45" t="s">
        <v>59</v>
      </c>
      <c r="B20" s="40" t="s">
        <v>289</v>
      </c>
      <c r="C20" s="48" t="s">
        <v>120</v>
      </c>
      <c r="D20" s="40" t="s">
        <v>336</v>
      </c>
      <c r="E20" s="40" t="s">
        <v>337</v>
      </c>
      <c r="F20" s="40" t="s">
        <v>338</v>
      </c>
      <c r="G20" s="41" t="s">
        <v>339</v>
      </c>
    </row>
    <row r="21" spans="1:7" ht="41.4" customHeight="1">
      <c r="A21" s="45" t="s">
        <v>59</v>
      </c>
      <c r="B21" s="40" t="s">
        <v>289</v>
      </c>
      <c r="C21" s="48" t="s">
        <v>121</v>
      </c>
      <c r="D21" s="40" t="s">
        <v>340</v>
      </c>
      <c r="E21" s="40" t="s">
        <v>8</v>
      </c>
      <c r="F21" s="40" t="s">
        <v>341</v>
      </c>
      <c r="G21" s="41" t="s">
        <v>342</v>
      </c>
    </row>
    <row r="22" spans="1:7" ht="41.4" customHeight="1">
      <c r="A22" s="45" t="s">
        <v>59</v>
      </c>
      <c r="B22" s="40" t="s">
        <v>289</v>
      </c>
      <c r="C22" s="48" t="s">
        <v>122</v>
      </c>
      <c r="D22" s="40" t="s">
        <v>343</v>
      </c>
      <c r="E22" s="40" t="s">
        <v>8</v>
      </c>
      <c r="F22" s="40" t="s">
        <v>344</v>
      </c>
      <c r="G22" s="41" t="s">
        <v>345</v>
      </c>
    </row>
    <row r="23" spans="1:7" ht="41.4" customHeight="1">
      <c r="A23" s="45" t="s">
        <v>59</v>
      </c>
      <c r="B23" s="40" t="s">
        <v>289</v>
      </c>
      <c r="C23" s="48" t="s">
        <v>123</v>
      </c>
      <c r="D23" s="40" t="s">
        <v>346</v>
      </c>
      <c r="E23" s="40" t="s">
        <v>347</v>
      </c>
      <c r="F23" s="40" t="s">
        <v>348</v>
      </c>
      <c r="G23" s="41" t="s">
        <v>349</v>
      </c>
    </row>
    <row r="24" spans="1:7" ht="41.4" customHeight="1">
      <c r="A24" s="45" t="s">
        <v>63</v>
      </c>
      <c r="B24" s="40" t="s">
        <v>350</v>
      </c>
      <c r="C24" s="48" t="s">
        <v>109</v>
      </c>
      <c r="D24" s="40" t="s">
        <v>290</v>
      </c>
      <c r="E24" s="40" t="s">
        <v>351</v>
      </c>
      <c r="F24" s="40" t="s">
        <v>352</v>
      </c>
      <c r="G24" s="41" t="s">
        <v>293</v>
      </c>
    </row>
    <row r="25" spans="1:7" ht="41.4" customHeight="1">
      <c r="A25" s="45" t="s">
        <v>63</v>
      </c>
      <c r="B25" s="40" t="s">
        <v>350</v>
      </c>
      <c r="C25" s="48" t="s">
        <v>126</v>
      </c>
      <c r="D25" s="40" t="s">
        <v>353</v>
      </c>
      <c r="E25" s="40" t="s">
        <v>354</v>
      </c>
      <c r="F25" s="40" t="s">
        <v>355</v>
      </c>
      <c r="G25" s="41" t="s">
        <v>356</v>
      </c>
    </row>
    <row r="26" spans="1:7" ht="41.4" customHeight="1">
      <c r="A26" s="45" t="s">
        <v>63</v>
      </c>
      <c r="B26" s="40" t="s">
        <v>350</v>
      </c>
      <c r="C26" s="48" t="s">
        <v>127</v>
      </c>
      <c r="D26" s="40" t="s">
        <v>357</v>
      </c>
      <c r="E26" s="40" t="s">
        <v>333</v>
      </c>
      <c r="F26" s="40" t="s">
        <v>358</v>
      </c>
      <c r="G26" s="41" t="s">
        <v>359</v>
      </c>
    </row>
    <row r="27" spans="1:7" ht="41.4" customHeight="1">
      <c r="A27" s="45" t="s">
        <v>63</v>
      </c>
      <c r="B27" s="40" t="s">
        <v>350</v>
      </c>
      <c r="C27" s="48" t="s">
        <v>128</v>
      </c>
      <c r="D27" s="40" t="s">
        <v>360</v>
      </c>
      <c r="E27" s="40" t="s">
        <v>10</v>
      </c>
      <c r="F27" s="40" t="s">
        <v>361</v>
      </c>
      <c r="G27" s="41" t="s">
        <v>362</v>
      </c>
    </row>
    <row r="28" spans="1:7" ht="41.4" customHeight="1">
      <c r="A28" s="45" t="s">
        <v>63</v>
      </c>
      <c r="B28" s="40" t="s">
        <v>350</v>
      </c>
      <c r="C28" s="48" t="s">
        <v>129</v>
      </c>
      <c r="D28" s="40" t="s">
        <v>363</v>
      </c>
      <c r="E28" s="40" t="s">
        <v>364</v>
      </c>
      <c r="F28" s="40" t="s">
        <v>365</v>
      </c>
      <c r="G28" s="41" t="s">
        <v>366</v>
      </c>
    </row>
    <row r="29" spans="1:7" ht="41.4" customHeight="1">
      <c r="A29" s="45" t="s">
        <v>63</v>
      </c>
      <c r="B29" s="40" t="s">
        <v>350</v>
      </c>
      <c r="C29" s="48" t="s">
        <v>130</v>
      </c>
      <c r="D29" s="40" t="s">
        <v>367</v>
      </c>
      <c r="E29" s="40" t="s">
        <v>368</v>
      </c>
      <c r="F29" s="40" t="s">
        <v>369</v>
      </c>
      <c r="G29" s="41" t="s">
        <v>370</v>
      </c>
    </row>
    <row r="30" spans="1:7" ht="41.4" customHeight="1">
      <c r="A30" s="45" t="s">
        <v>63</v>
      </c>
      <c r="B30" s="40" t="s">
        <v>350</v>
      </c>
      <c r="C30" s="48" t="s">
        <v>131</v>
      </c>
      <c r="D30" s="40" t="s">
        <v>371</v>
      </c>
      <c r="E30" s="40" t="s">
        <v>372</v>
      </c>
      <c r="F30" s="40" t="s">
        <v>373</v>
      </c>
      <c r="G30" s="41" t="s">
        <v>374</v>
      </c>
    </row>
    <row r="31" spans="1:7" ht="41.4" customHeight="1">
      <c r="A31" s="45" t="s">
        <v>63</v>
      </c>
      <c r="B31" s="40" t="s">
        <v>350</v>
      </c>
      <c r="C31" s="48" t="s">
        <v>132</v>
      </c>
      <c r="D31" s="40" t="s">
        <v>375</v>
      </c>
      <c r="E31" s="40" t="s">
        <v>295</v>
      </c>
      <c r="F31" s="40" t="s">
        <v>376</v>
      </c>
      <c r="G31" s="41" t="s">
        <v>377</v>
      </c>
    </row>
    <row r="32" spans="1:7" ht="41.4" customHeight="1">
      <c r="A32" s="45" t="s">
        <v>63</v>
      </c>
      <c r="B32" s="40" t="s">
        <v>350</v>
      </c>
      <c r="C32" s="48" t="s">
        <v>133</v>
      </c>
      <c r="D32" s="40" t="s">
        <v>378</v>
      </c>
      <c r="E32" s="40" t="s">
        <v>379</v>
      </c>
      <c r="F32" s="40" t="s">
        <v>380</v>
      </c>
      <c r="G32" s="41" t="s">
        <v>381</v>
      </c>
    </row>
    <row r="33" spans="1:7" ht="41.4" customHeight="1">
      <c r="A33" s="45" t="s">
        <v>63</v>
      </c>
      <c r="B33" s="40" t="s">
        <v>350</v>
      </c>
      <c r="C33" s="48" t="s">
        <v>134</v>
      </c>
      <c r="D33" s="40" t="s">
        <v>382</v>
      </c>
      <c r="E33" s="40" t="s">
        <v>8</v>
      </c>
      <c r="F33" s="40" t="s">
        <v>383</v>
      </c>
      <c r="G33" s="41" t="s">
        <v>384</v>
      </c>
    </row>
    <row r="34" spans="1:7" ht="41.4" customHeight="1">
      <c r="A34" s="45" t="s">
        <v>63</v>
      </c>
      <c r="B34" s="40" t="s">
        <v>350</v>
      </c>
      <c r="C34" s="48" t="s">
        <v>135</v>
      </c>
      <c r="D34" s="40" t="s">
        <v>385</v>
      </c>
      <c r="E34" s="40" t="s">
        <v>8</v>
      </c>
      <c r="F34" s="40" t="s">
        <v>386</v>
      </c>
      <c r="G34" s="41" t="s">
        <v>387</v>
      </c>
    </row>
    <row r="35" spans="1:7" ht="41.4" customHeight="1">
      <c r="A35" s="45" t="s">
        <v>63</v>
      </c>
      <c r="B35" s="40" t="s">
        <v>350</v>
      </c>
      <c r="C35" s="48" t="s">
        <v>136</v>
      </c>
      <c r="D35" s="40" t="s">
        <v>388</v>
      </c>
      <c r="E35" s="40" t="s">
        <v>8</v>
      </c>
      <c r="F35" s="40" t="s">
        <v>389</v>
      </c>
      <c r="G35" s="41" t="s">
        <v>390</v>
      </c>
    </row>
    <row r="36" spans="1:7" ht="41.4" customHeight="1">
      <c r="A36" s="45" t="s">
        <v>63</v>
      </c>
      <c r="B36" s="40" t="s">
        <v>350</v>
      </c>
      <c r="C36" s="48" t="s">
        <v>137</v>
      </c>
      <c r="D36" s="40" t="s">
        <v>391</v>
      </c>
      <c r="E36" s="40" t="s">
        <v>8</v>
      </c>
      <c r="F36" s="40" t="s">
        <v>392</v>
      </c>
      <c r="G36" s="41" t="s">
        <v>393</v>
      </c>
    </row>
    <row r="37" spans="1:7" ht="41.4" customHeight="1">
      <c r="A37" s="45" t="s">
        <v>63</v>
      </c>
      <c r="B37" s="40" t="s">
        <v>350</v>
      </c>
      <c r="C37" s="48" t="s">
        <v>138</v>
      </c>
      <c r="D37" s="40" t="s">
        <v>394</v>
      </c>
      <c r="E37" s="40" t="s">
        <v>22</v>
      </c>
      <c r="F37" s="40" t="s">
        <v>395</v>
      </c>
      <c r="G37" s="41" t="s">
        <v>396</v>
      </c>
    </row>
    <row r="38" spans="1:7" ht="41.4" customHeight="1">
      <c r="A38" s="45" t="s">
        <v>63</v>
      </c>
      <c r="B38" s="40" t="s">
        <v>350</v>
      </c>
      <c r="C38" s="48" t="s">
        <v>139</v>
      </c>
      <c r="D38" s="40" t="s">
        <v>397</v>
      </c>
      <c r="E38" s="40" t="s">
        <v>15</v>
      </c>
      <c r="F38" s="40" t="s">
        <v>398</v>
      </c>
      <c r="G38" s="41" t="s">
        <v>399</v>
      </c>
    </row>
    <row r="39" spans="1:7" ht="41.4" customHeight="1">
      <c r="A39" s="45" t="s">
        <v>63</v>
      </c>
      <c r="B39" s="40" t="s">
        <v>350</v>
      </c>
      <c r="C39" s="48" t="s">
        <v>140</v>
      </c>
      <c r="D39" s="40" t="s">
        <v>400</v>
      </c>
      <c r="E39" s="40" t="s">
        <v>320</v>
      </c>
      <c r="F39" s="40" t="s">
        <v>401</v>
      </c>
      <c r="G39" s="41" t="s">
        <v>402</v>
      </c>
    </row>
    <row r="40" spans="1:7" ht="41.4" customHeight="1">
      <c r="A40" s="45" t="s">
        <v>63</v>
      </c>
      <c r="B40" s="40" t="s">
        <v>350</v>
      </c>
      <c r="C40" s="48" t="s">
        <v>141</v>
      </c>
      <c r="D40" s="40" t="s">
        <v>403</v>
      </c>
      <c r="E40" s="40" t="s">
        <v>21</v>
      </c>
      <c r="F40" s="40" t="s">
        <v>404</v>
      </c>
      <c r="G40" s="41" t="s">
        <v>405</v>
      </c>
    </row>
    <row r="41" spans="1:7" ht="41.4" customHeight="1">
      <c r="A41" s="45" t="s">
        <v>63</v>
      </c>
      <c r="B41" s="40" t="s">
        <v>350</v>
      </c>
      <c r="C41" s="48" t="s">
        <v>123</v>
      </c>
      <c r="D41" s="40" t="s">
        <v>406</v>
      </c>
      <c r="E41" s="40" t="s">
        <v>407</v>
      </c>
      <c r="F41" s="40" t="s">
        <v>408</v>
      </c>
      <c r="G41" s="41" t="s">
        <v>409</v>
      </c>
    </row>
    <row r="42" spans="1:7" ht="41.4" customHeight="1">
      <c r="A42" s="45" t="s">
        <v>67</v>
      </c>
      <c r="B42" s="40" t="s">
        <v>410</v>
      </c>
      <c r="C42" s="48" t="s">
        <v>109</v>
      </c>
      <c r="D42" s="40" t="s">
        <v>290</v>
      </c>
      <c r="E42" s="40" t="s">
        <v>411</v>
      </c>
      <c r="F42" s="40" t="s">
        <v>412</v>
      </c>
      <c r="G42" s="41" t="s">
        <v>293</v>
      </c>
    </row>
    <row r="43" spans="1:7" ht="41.4" customHeight="1">
      <c r="A43" s="45" t="s">
        <v>67</v>
      </c>
      <c r="B43" s="40" t="s">
        <v>410</v>
      </c>
      <c r="C43" s="48" t="s">
        <v>144</v>
      </c>
      <c r="D43" s="40" t="s">
        <v>413</v>
      </c>
      <c r="E43" s="40" t="s">
        <v>414</v>
      </c>
      <c r="F43" s="40" t="s">
        <v>415</v>
      </c>
      <c r="G43" s="41" t="s">
        <v>416</v>
      </c>
    </row>
    <row r="44" spans="1:7" ht="41.4" customHeight="1">
      <c r="A44" s="45" t="s">
        <v>67</v>
      </c>
      <c r="B44" s="40" t="s">
        <v>410</v>
      </c>
      <c r="C44" s="48" t="s">
        <v>145</v>
      </c>
      <c r="D44" s="40" t="s">
        <v>417</v>
      </c>
      <c r="E44" s="40" t="s">
        <v>295</v>
      </c>
      <c r="F44" s="40" t="s">
        <v>418</v>
      </c>
      <c r="G44" s="41" t="s">
        <v>419</v>
      </c>
    </row>
    <row r="45" spans="1:7" ht="41.4" customHeight="1">
      <c r="A45" s="45" t="s">
        <v>67</v>
      </c>
      <c r="B45" s="40" t="s">
        <v>410</v>
      </c>
      <c r="C45" s="48" t="s">
        <v>146</v>
      </c>
      <c r="D45" s="40" t="s">
        <v>420</v>
      </c>
      <c r="E45" s="40" t="s">
        <v>421</v>
      </c>
      <c r="F45" s="40" t="s">
        <v>422</v>
      </c>
      <c r="G45" s="41" t="s">
        <v>423</v>
      </c>
    </row>
    <row r="46" spans="1:7" ht="41.4" customHeight="1">
      <c r="A46" s="45" t="s">
        <v>67</v>
      </c>
      <c r="B46" s="40" t="s">
        <v>410</v>
      </c>
      <c r="C46" s="48" t="s">
        <v>147</v>
      </c>
      <c r="D46" s="40" t="s">
        <v>424</v>
      </c>
      <c r="E46" s="40" t="s">
        <v>425</v>
      </c>
      <c r="F46" s="40" t="s">
        <v>426</v>
      </c>
      <c r="G46" s="41" t="s">
        <v>427</v>
      </c>
    </row>
    <row r="47" spans="1:7" ht="41.4" customHeight="1">
      <c r="A47" s="45" t="s">
        <v>67</v>
      </c>
      <c r="B47" s="40" t="s">
        <v>410</v>
      </c>
      <c r="C47" s="48" t="s">
        <v>148</v>
      </c>
      <c r="D47" s="40" t="s">
        <v>428</v>
      </c>
      <c r="E47" s="40" t="s">
        <v>429</v>
      </c>
      <c r="F47" s="40" t="s">
        <v>430</v>
      </c>
      <c r="G47" s="41" t="s">
        <v>431</v>
      </c>
    </row>
    <row r="48" spans="1:7" ht="41.4" customHeight="1">
      <c r="A48" s="45" t="s">
        <v>67</v>
      </c>
      <c r="B48" s="40" t="s">
        <v>410</v>
      </c>
      <c r="C48" s="48" t="s">
        <v>149</v>
      </c>
      <c r="D48" s="40" t="s">
        <v>432</v>
      </c>
      <c r="E48" s="40" t="s">
        <v>433</v>
      </c>
      <c r="F48" s="40" t="s">
        <v>434</v>
      </c>
      <c r="G48" s="41" t="s">
        <v>435</v>
      </c>
    </row>
    <row r="49" spans="1:7" ht="41.4" customHeight="1">
      <c r="A49" s="45" t="s">
        <v>67</v>
      </c>
      <c r="B49" s="40" t="s">
        <v>410</v>
      </c>
      <c r="C49" s="48" t="s">
        <v>150</v>
      </c>
      <c r="D49" s="40" t="s">
        <v>436</v>
      </c>
      <c r="E49" s="40" t="s">
        <v>437</v>
      </c>
      <c r="F49" s="40" t="s">
        <v>438</v>
      </c>
      <c r="G49" s="41" t="s">
        <v>302</v>
      </c>
    </row>
    <row r="50" spans="1:7" ht="41.4" customHeight="1">
      <c r="A50" s="45" t="s">
        <v>67</v>
      </c>
      <c r="B50" s="40" t="s">
        <v>410</v>
      </c>
      <c r="C50" s="48" t="s">
        <v>151</v>
      </c>
      <c r="D50" s="40" t="s">
        <v>439</v>
      </c>
      <c r="E50" s="40" t="s">
        <v>440</v>
      </c>
      <c r="F50" s="40" t="s">
        <v>441</v>
      </c>
      <c r="G50" s="41" t="s">
        <v>442</v>
      </c>
    </row>
    <row r="51" spans="1:7" ht="41.4" customHeight="1">
      <c r="A51" s="45" t="s">
        <v>67</v>
      </c>
      <c r="B51" s="40" t="s">
        <v>410</v>
      </c>
      <c r="C51" s="48" t="s">
        <v>152</v>
      </c>
      <c r="D51" s="40" t="s">
        <v>443</v>
      </c>
      <c r="E51" s="40" t="s">
        <v>444</v>
      </c>
      <c r="F51" s="40" t="s">
        <v>445</v>
      </c>
      <c r="G51" s="41" t="s">
        <v>446</v>
      </c>
    </row>
    <row r="52" spans="1:7" ht="41.4" customHeight="1">
      <c r="A52" s="45" t="s">
        <v>67</v>
      </c>
      <c r="B52" s="40" t="s">
        <v>410</v>
      </c>
      <c r="C52" s="48" t="s">
        <v>153</v>
      </c>
      <c r="D52" s="40" t="s">
        <v>447</v>
      </c>
      <c r="E52" s="40" t="s">
        <v>9</v>
      </c>
      <c r="F52" s="40" t="s">
        <v>448</v>
      </c>
      <c r="G52" s="41" t="s">
        <v>449</v>
      </c>
    </row>
    <row r="53" spans="1:7" ht="41.4" customHeight="1">
      <c r="A53" s="45" t="s">
        <v>67</v>
      </c>
      <c r="B53" s="40" t="s">
        <v>410</v>
      </c>
      <c r="C53" s="48" t="s">
        <v>154</v>
      </c>
      <c r="D53" s="40" t="s">
        <v>450</v>
      </c>
      <c r="E53" s="40" t="s">
        <v>320</v>
      </c>
      <c r="F53" s="40" t="s">
        <v>451</v>
      </c>
      <c r="G53" s="41" t="s">
        <v>452</v>
      </c>
    </row>
    <row r="54" spans="1:7" ht="41.4" customHeight="1">
      <c r="A54" s="45" t="s">
        <v>67</v>
      </c>
      <c r="B54" s="40" t="s">
        <v>410</v>
      </c>
      <c r="C54" s="48" t="s">
        <v>155</v>
      </c>
      <c r="D54" s="40" t="s">
        <v>453</v>
      </c>
      <c r="E54" s="40" t="s">
        <v>8</v>
      </c>
      <c r="F54" s="40" t="s">
        <v>454</v>
      </c>
      <c r="G54" s="41" t="s">
        <v>455</v>
      </c>
    </row>
    <row r="55" spans="1:7" ht="41.4" customHeight="1">
      <c r="A55" s="45" t="s">
        <v>67</v>
      </c>
      <c r="B55" s="40" t="s">
        <v>410</v>
      </c>
      <c r="C55" s="48" t="s">
        <v>156</v>
      </c>
      <c r="D55" s="40" t="s">
        <v>456</v>
      </c>
      <c r="E55" s="40" t="s">
        <v>8</v>
      </c>
      <c r="F55" s="40" t="s">
        <v>457</v>
      </c>
      <c r="G55" s="41" t="s">
        <v>458</v>
      </c>
    </row>
    <row r="56" spans="1:7" ht="41.4" customHeight="1">
      <c r="A56" s="45" t="s">
        <v>67</v>
      </c>
      <c r="B56" s="40" t="s">
        <v>410</v>
      </c>
      <c r="C56" s="48" t="s">
        <v>157</v>
      </c>
      <c r="D56" s="40" t="s">
        <v>459</v>
      </c>
      <c r="E56" s="40" t="s">
        <v>22</v>
      </c>
      <c r="F56" s="40" t="s">
        <v>460</v>
      </c>
      <c r="G56" s="41" t="s">
        <v>461</v>
      </c>
    </row>
    <row r="57" spans="1:7" ht="41.4" customHeight="1">
      <c r="A57" s="45" t="s">
        <v>67</v>
      </c>
      <c r="B57" s="40" t="s">
        <v>410</v>
      </c>
      <c r="C57" s="48" t="s">
        <v>158</v>
      </c>
      <c r="D57" s="40" t="s">
        <v>462</v>
      </c>
      <c r="E57" s="40" t="s">
        <v>463</v>
      </c>
      <c r="F57" s="40" t="s">
        <v>464</v>
      </c>
      <c r="G57" s="41" t="s">
        <v>465</v>
      </c>
    </row>
    <row r="58" spans="1:7" ht="41.4" customHeight="1">
      <c r="A58" s="45" t="s">
        <v>67</v>
      </c>
      <c r="B58" s="40" t="s">
        <v>410</v>
      </c>
      <c r="C58" s="48" t="s">
        <v>123</v>
      </c>
      <c r="D58" s="40" t="s">
        <v>466</v>
      </c>
      <c r="E58" s="40" t="s">
        <v>467</v>
      </c>
      <c r="F58" s="40" t="s">
        <v>468</v>
      </c>
      <c r="G58" s="41" t="s">
        <v>469</v>
      </c>
    </row>
    <row r="59" spans="1:7" ht="41.4" customHeight="1">
      <c r="A59" s="45" t="s">
        <v>71</v>
      </c>
      <c r="B59" s="40" t="s">
        <v>470</v>
      </c>
      <c r="C59" s="48" t="s">
        <v>109</v>
      </c>
      <c r="D59" s="40" t="s">
        <v>290</v>
      </c>
      <c r="E59" s="40" t="s">
        <v>471</v>
      </c>
      <c r="F59" s="40" t="s">
        <v>472</v>
      </c>
      <c r="G59" s="41" t="s">
        <v>293</v>
      </c>
    </row>
    <row r="60" spans="1:7" ht="41.4" customHeight="1">
      <c r="A60" s="45" t="s">
        <v>71</v>
      </c>
      <c r="B60" s="40" t="s">
        <v>470</v>
      </c>
      <c r="C60" s="48" t="s">
        <v>159</v>
      </c>
      <c r="D60" s="40" t="s">
        <v>473</v>
      </c>
      <c r="E60" s="40" t="s">
        <v>474</v>
      </c>
      <c r="F60" s="40" t="s">
        <v>475</v>
      </c>
      <c r="G60" s="41" t="s">
        <v>476</v>
      </c>
    </row>
    <row r="61" spans="1:7" ht="41.4" customHeight="1">
      <c r="A61" s="45" t="s">
        <v>71</v>
      </c>
      <c r="B61" s="40" t="s">
        <v>470</v>
      </c>
      <c r="C61" s="48" t="s">
        <v>160</v>
      </c>
      <c r="D61" s="40" t="s">
        <v>477</v>
      </c>
      <c r="E61" s="40" t="s">
        <v>478</v>
      </c>
      <c r="F61" s="40" t="s">
        <v>479</v>
      </c>
      <c r="G61" s="41" t="s">
        <v>480</v>
      </c>
    </row>
    <row r="62" spans="1:7" ht="41.4" customHeight="1">
      <c r="A62" s="45" t="s">
        <v>71</v>
      </c>
      <c r="B62" s="40" t="s">
        <v>470</v>
      </c>
      <c r="C62" s="48" t="s">
        <v>161</v>
      </c>
      <c r="D62" s="40" t="s">
        <v>481</v>
      </c>
      <c r="E62" s="40" t="s">
        <v>482</v>
      </c>
      <c r="F62" s="40" t="s">
        <v>483</v>
      </c>
      <c r="G62" s="41" t="s">
        <v>484</v>
      </c>
    </row>
    <row r="63" spans="1:7" ht="41.4" customHeight="1">
      <c r="A63" s="45" t="s">
        <v>71</v>
      </c>
      <c r="B63" s="40" t="s">
        <v>470</v>
      </c>
      <c r="C63" s="48" t="s">
        <v>162</v>
      </c>
      <c r="D63" s="40" t="s">
        <v>485</v>
      </c>
      <c r="E63" s="40" t="s">
        <v>486</v>
      </c>
      <c r="F63" s="40" t="s">
        <v>487</v>
      </c>
      <c r="G63" s="41" t="s">
        <v>488</v>
      </c>
    </row>
    <row r="64" spans="1:7" ht="41.4" customHeight="1">
      <c r="A64" s="45" t="s">
        <v>71</v>
      </c>
      <c r="B64" s="40" t="s">
        <v>470</v>
      </c>
      <c r="C64" s="48" t="s">
        <v>163</v>
      </c>
      <c r="D64" s="40" t="s">
        <v>489</v>
      </c>
      <c r="E64" s="40" t="s">
        <v>490</v>
      </c>
      <c r="F64" s="40" t="s">
        <v>491</v>
      </c>
      <c r="G64" s="41" t="s">
        <v>492</v>
      </c>
    </row>
    <row r="65" spans="1:7" ht="41.4" customHeight="1">
      <c r="A65" s="45" t="s">
        <v>71</v>
      </c>
      <c r="B65" s="40" t="s">
        <v>470</v>
      </c>
      <c r="C65" s="48" t="s">
        <v>150</v>
      </c>
      <c r="D65" s="40" t="s">
        <v>493</v>
      </c>
      <c r="E65" s="40" t="s">
        <v>19</v>
      </c>
      <c r="F65" s="40" t="s">
        <v>494</v>
      </c>
      <c r="G65" s="41" t="s">
        <v>495</v>
      </c>
    </row>
    <row r="66" spans="1:7" ht="41.4" customHeight="1">
      <c r="A66" s="45" t="s">
        <v>71</v>
      </c>
      <c r="B66" s="40" t="s">
        <v>470</v>
      </c>
      <c r="C66" s="48" t="s">
        <v>164</v>
      </c>
      <c r="D66" s="40" t="s">
        <v>496</v>
      </c>
      <c r="E66" s="40" t="s">
        <v>497</v>
      </c>
      <c r="F66" s="40" t="s">
        <v>498</v>
      </c>
      <c r="G66" s="41" t="s">
        <v>499</v>
      </c>
    </row>
    <row r="67" spans="1:7" ht="41.4" customHeight="1">
      <c r="A67" s="45" t="s">
        <v>71</v>
      </c>
      <c r="B67" s="40" t="s">
        <v>470</v>
      </c>
      <c r="C67" s="48" t="s">
        <v>165</v>
      </c>
      <c r="D67" s="40" t="s">
        <v>500</v>
      </c>
      <c r="E67" s="40" t="s">
        <v>8</v>
      </c>
      <c r="F67" s="40" t="s">
        <v>501</v>
      </c>
      <c r="G67" s="41" t="s">
        <v>502</v>
      </c>
    </row>
    <row r="68" spans="1:7" ht="41.4" customHeight="1">
      <c r="A68" s="45" t="s">
        <v>71</v>
      </c>
      <c r="B68" s="40" t="s">
        <v>470</v>
      </c>
      <c r="C68" s="48" t="s">
        <v>166</v>
      </c>
      <c r="D68" s="40" t="s">
        <v>503</v>
      </c>
      <c r="E68" s="40" t="s">
        <v>8</v>
      </c>
      <c r="F68" s="40" t="s">
        <v>504</v>
      </c>
      <c r="G68" s="41" t="s">
        <v>505</v>
      </c>
    </row>
    <row r="69" spans="1:7" ht="41.4" customHeight="1">
      <c r="A69" s="45" t="s">
        <v>71</v>
      </c>
      <c r="B69" s="40" t="s">
        <v>470</v>
      </c>
      <c r="C69" s="48" t="s">
        <v>167</v>
      </c>
      <c r="D69" s="40" t="s">
        <v>506</v>
      </c>
      <c r="E69" s="40" t="s">
        <v>333</v>
      </c>
      <c r="F69" s="40" t="s">
        <v>507</v>
      </c>
      <c r="G69" s="41" t="s">
        <v>508</v>
      </c>
    </row>
    <row r="70" spans="1:7" ht="41.4" customHeight="1">
      <c r="A70" s="45" t="s">
        <v>71</v>
      </c>
      <c r="B70" s="40" t="s">
        <v>470</v>
      </c>
      <c r="C70" s="48" t="s">
        <v>168</v>
      </c>
      <c r="D70" s="40" t="s">
        <v>509</v>
      </c>
      <c r="E70" s="40" t="s">
        <v>8</v>
      </c>
      <c r="F70" s="40" t="s">
        <v>510</v>
      </c>
      <c r="G70" s="41" t="s">
        <v>511</v>
      </c>
    </row>
    <row r="71" spans="1:7" ht="41.4" customHeight="1">
      <c r="A71" s="45" t="s">
        <v>71</v>
      </c>
      <c r="B71" s="40" t="s">
        <v>470</v>
      </c>
      <c r="C71" s="48" t="s">
        <v>169</v>
      </c>
      <c r="D71" s="40" t="s">
        <v>512</v>
      </c>
      <c r="E71" s="40" t="s">
        <v>513</v>
      </c>
      <c r="F71" s="40" t="s">
        <v>514</v>
      </c>
      <c r="G71" s="41" t="s">
        <v>515</v>
      </c>
    </row>
    <row r="72" spans="1:7" ht="41.4" customHeight="1">
      <c r="A72" s="45" t="s">
        <v>71</v>
      </c>
      <c r="B72" s="40" t="s">
        <v>470</v>
      </c>
      <c r="C72" s="48" t="s">
        <v>170</v>
      </c>
      <c r="D72" s="40" t="s">
        <v>516</v>
      </c>
      <c r="E72" s="40" t="s">
        <v>28</v>
      </c>
      <c r="F72" s="40" t="s">
        <v>517</v>
      </c>
      <c r="G72" s="41" t="s">
        <v>518</v>
      </c>
    </row>
    <row r="73" spans="1:7" ht="41.4" customHeight="1">
      <c r="A73" s="45" t="s">
        <v>71</v>
      </c>
      <c r="B73" s="40" t="s">
        <v>470</v>
      </c>
      <c r="C73" s="48" t="s">
        <v>123</v>
      </c>
      <c r="D73" s="40" t="s">
        <v>519</v>
      </c>
      <c r="E73" s="40" t="s">
        <v>520</v>
      </c>
      <c r="F73" s="40" t="s">
        <v>521</v>
      </c>
      <c r="G73" s="41" t="s">
        <v>522</v>
      </c>
    </row>
    <row r="74" spans="1:7" ht="41.4" customHeight="1">
      <c r="A74" s="45" t="s">
        <v>75</v>
      </c>
      <c r="B74" s="40" t="s">
        <v>523</v>
      </c>
      <c r="C74" s="48" t="s">
        <v>109</v>
      </c>
      <c r="D74" s="40" t="s">
        <v>290</v>
      </c>
      <c r="E74" s="40" t="s">
        <v>524</v>
      </c>
      <c r="F74" s="40" t="s">
        <v>525</v>
      </c>
      <c r="G74" s="41" t="s">
        <v>293</v>
      </c>
    </row>
    <row r="75" spans="1:7" ht="41.4" customHeight="1">
      <c r="A75" s="45" t="s">
        <v>75</v>
      </c>
      <c r="B75" s="40" t="s">
        <v>523</v>
      </c>
      <c r="C75" s="48" t="s">
        <v>173</v>
      </c>
      <c r="D75" s="40" t="s">
        <v>526</v>
      </c>
      <c r="E75" s="40" t="s">
        <v>527</v>
      </c>
      <c r="F75" s="40" t="s">
        <v>528</v>
      </c>
      <c r="G75" s="41" t="s">
        <v>529</v>
      </c>
    </row>
    <row r="76" spans="1:7" ht="41.4" customHeight="1">
      <c r="A76" s="45" t="s">
        <v>75</v>
      </c>
      <c r="B76" s="40" t="s">
        <v>523</v>
      </c>
      <c r="C76" s="48" t="s">
        <v>174</v>
      </c>
      <c r="D76" s="40" t="s">
        <v>530</v>
      </c>
      <c r="E76" s="40" t="s">
        <v>531</v>
      </c>
      <c r="F76" s="40" t="s">
        <v>532</v>
      </c>
      <c r="G76" s="41" t="s">
        <v>533</v>
      </c>
    </row>
    <row r="77" spans="1:7" ht="41.4" customHeight="1">
      <c r="A77" s="45" t="s">
        <v>75</v>
      </c>
      <c r="B77" s="40" t="s">
        <v>523</v>
      </c>
      <c r="C77" s="48" t="s">
        <v>175</v>
      </c>
      <c r="D77" s="40" t="s">
        <v>534</v>
      </c>
      <c r="E77" s="40" t="s">
        <v>320</v>
      </c>
      <c r="F77" s="40" t="s">
        <v>535</v>
      </c>
      <c r="G77" s="41" t="s">
        <v>536</v>
      </c>
    </row>
    <row r="78" spans="1:7" ht="41.4" customHeight="1">
      <c r="A78" s="45" t="s">
        <v>75</v>
      </c>
      <c r="B78" s="40" t="s">
        <v>523</v>
      </c>
      <c r="C78" s="48" t="s">
        <v>176</v>
      </c>
      <c r="D78" s="40" t="s">
        <v>537</v>
      </c>
      <c r="E78" s="40" t="s">
        <v>538</v>
      </c>
      <c r="F78" s="40" t="s">
        <v>539</v>
      </c>
      <c r="G78" s="41" t="s">
        <v>540</v>
      </c>
    </row>
    <row r="79" spans="1:7" ht="41.4" customHeight="1">
      <c r="A79" s="45" t="s">
        <v>75</v>
      </c>
      <c r="B79" s="40" t="s">
        <v>523</v>
      </c>
      <c r="C79" s="48" t="s">
        <v>177</v>
      </c>
      <c r="D79" s="40" t="s">
        <v>541</v>
      </c>
      <c r="E79" s="40" t="s">
        <v>20</v>
      </c>
      <c r="F79" s="40" t="s">
        <v>542</v>
      </c>
      <c r="G79" s="41" t="s">
        <v>302</v>
      </c>
    </row>
    <row r="80" spans="1:7" ht="41.4" customHeight="1">
      <c r="A80" s="45" t="s">
        <v>75</v>
      </c>
      <c r="B80" s="40" t="s">
        <v>523</v>
      </c>
      <c r="C80" s="48" t="s">
        <v>178</v>
      </c>
      <c r="D80" s="40" t="s">
        <v>543</v>
      </c>
      <c r="E80" s="40" t="s">
        <v>544</v>
      </c>
      <c r="F80" s="40" t="s">
        <v>545</v>
      </c>
      <c r="G80" s="41" t="s">
        <v>546</v>
      </c>
    </row>
    <row r="81" spans="1:7" ht="41.4" customHeight="1">
      <c r="A81" s="45" t="s">
        <v>75</v>
      </c>
      <c r="B81" s="40" t="s">
        <v>523</v>
      </c>
      <c r="C81" s="48" t="s">
        <v>179</v>
      </c>
      <c r="D81" s="40" t="s">
        <v>547</v>
      </c>
      <c r="E81" s="40" t="s">
        <v>548</v>
      </c>
      <c r="F81" s="40" t="s">
        <v>549</v>
      </c>
      <c r="G81" s="41" t="s">
        <v>550</v>
      </c>
    </row>
    <row r="82" spans="1:7" ht="41.4" customHeight="1">
      <c r="A82" s="45" t="s">
        <v>75</v>
      </c>
      <c r="B82" s="40" t="s">
        <v>523</v>
      </c>
      <c r="C82" s="48" t="s">
        <v>180</v>
      </c>
      <c r="D82" s="40" t="s">
        <v>551</v>
      </c>
      <c r="E82" s="40" t="s">
        <v>8</v>
      </c>
      <c r="F82" s="40" t="s">
        <v>552</v>
      </c>
      <c r="G82" s="41" t="s">
        <v>553</v>
      </c>
    </row>
    <row r="83" spans="1:7" ht="41.4" customHeight="1">
      <c r="A83" s="45" t="s">
        <v>75</v>
      </c>
      <c r="B83" s="40" t="s">
        <v>523</v>
      </c>
      <c r="C83" s="48" t="s">
        <v>181</v>
      </c>
      <c r="D83" s="40" t="s">
        <v>554</v>
      </c>
      <c r="E83" s="40" t="s">
        <v>555</v>
      </c>
      <c r="F83" s="40" t="s">
        <v>556</v>
      </c>
      <c r="G83" s="41" t="s">
        <v>557</v>
      </c>
    </row>
    <row r="84" spans="1:7" ht="41.4" customHeight="1">
      <c r="A84" s="45" t="s">
        <v>75</v>
      </c>
      <c r="B84" s="40" t="s">
        <v>523</v>
      </c>
      <c r="C84" s="48" t="s">
        <v>182</v>
      </c>
      <c r="D84" s="40" t="s">
        <v>558</v>
      </c>
      <c r="E84" s="40" t="s">
        <v>559</v>
      </c>
      <c r="F84" s="40" t="s">
        <v>560</v>
      </c>
      <c r="G84" s="41" t="s">
        <v>561</v>
      </c>
    </row>
    <row r="85" spans="1:7" ht="41.4" customHeight="1">
      <c r="A85" s="45" t="s">
        <v>75</v>
      </c>
      <c r="B85" s="40" t="s">
        <v>523</v>
      </c>
      <c r="C85" s="48" t="s">
        <v>183</v>
      </c>
      <c r="D85" s="40" t="s">
        <v>562</v>
      </c>
      <c r="E85" s="40" t="s">
        <v>28</v>
      </c>
      <c r="F85" s="40" t="s">
        <v>563</v>
      </c>
      <c r="G85" s="41" t="s">
        <v>564</v>
      </c>
    </row>
    <row r="86" spans="1:7" ht="41.4" customHeight="1">
      <c r="A86" s="45" t="s">
        <v>75</v>
      </c>
      <c r="B86" s="40" t="s">
        <v>523</v>
      </c>
      <c r="C86" s="48" t="s">
        <v>123</v>
      </c>
      <c r="D86" s="40" t="s">
        <v>565</v>
      </c>
      <c r="E86" s="40" t="s">
        <v>566</v>
      </c>
      <c r="F86" s="40" t="s">
        <v>567</v>
      </c>
      <c r="G86" s="41" t="s">
        <v>568</v>
      </c>
    </row>
    <row r="87" spans="1:7" ht="41.4" customHeight="1">
      <c r="A87" s="45" t="s">
        <v>79</v>
      </c>
      <c r="B87" s="40" t="s">
        <v>569</v>
      </c>
      <c r="C87" s="48" t="s">
        <v>109</v>
      </c>
      <c r="D87" s="40" t="s">
        <v>290</v>
      </c>
      <c r="E87" s="40" t="s">
        <v>570</v>
      </c>
      <c r="F87" s="40" t="s">
        <v>571</v>
      </c>
      <c r="G87" s="41" t="s">
        <v>293</v>
      </c>
    </row>
    <row r="88" spans="1:7" ht="41.4" customHeight="1">
      <c r="A88" s="45" t="s">
        <v>79</v>
      </c>
      <c r="B88" s="40" t="s">
        <v>569</v>
      </c>
      <c r="C88" s="48" t="s">
        <v>186</v>
      </c>
      <c r="D88" s="40" t="s">
        <v>572</v>
      </c>
      <c r="E88" s="40" t="s">
        <v>573</v>
      </c>
      <c r="F88" s="40" t="s">
        <v>574</v>
      </c>
      <c r="G88" s="41" t="s">
        <v>575</v>
      </c>
    </row>
    <row r="89" spans="1:7" ht="41.4" customHeight="1">
      <c r="A89" s="45" t="s">
        <v>79</v>
      </c>
      <c r="B89" s="40" t="s">
        <v>569</v>
      </c>
      <c r="C89" s="48" t="s">
        <v>187</v>
      </c>
      <c r="D89" s="40" t="s">
        <v>576</v>
      </c>
      <c r="E89" s="40" t="s">
        <v>577</v>
      </c>
      <c r="F89" s="40" t="s">
        <v>578</v>
      </c>
      <c r="G89" s="41" t="s">
        <v>579</v>
      </c>
    </row>
    <row r="90" spans="1:7" ht="41.4" customHeight="1">
      <c r="A90" s="45" t="s">
        <v>79</v>
      </c>
      <c r="B90" s="40" t="s">
        <v>569</v>
      </c>
      <c r="C90" s="48" t="s">
        <v>188</v>
      </c>
      <c r="D90" s="40" t="s">
        <v>580</v>
      </c>
      <c r="E90" s="40" t="s">
        <v>581</v>
      </c>
      <c r="F90" s="40" t="s">
        <v>582</v>
      </c>
      <c r="G90" s="41" t="s">
        <v>583</v>
      </c>
    </row>
    <row r="91" spans="1:7" ht="41.4" customHeight="1">
      <c r="A91" s="45" t="s">
        <v>79</v>
      </c>
      <c r="B91" s="40" t="s">
        <v>569</v>
      </c>
      <c r="C91" s="48" t="s">
        <v>189</v>
      </c>
      <c r="D91" s="40" t="s">
        <v>584</v>
      </c>
      <c r="E91" s="40" t="s">
        <v>585</v>
      </c>
      <c r="F91" s="40" t="s">
        <v>586</v>
      </c>
      <c r="G91" s="41" t="s">
        <v>587</v>
      </c>
    </row>
    <row r="92" spans="1:7" ht="41.4" customHeight="1">
      <c r="A92" s="45" t="s">
        <v>79</v>
      </c>
      <c r="B92" s="40" t="s">
        <v>569</v>
      </c>
      <c r="C92" s="48" t="s">
        <v>190</v>
      </c>
      <c r="D92" s="40" t="s">
        <v>588</v>
      </c>
      <c r="E92" s="40" t="s">
        <v>28</v>
      </c>
      <c r="F92" s="40" t="s">
        <v>589</v>
      </c>
      <c r="G92" s="41" t="s">
        <v>590</v>
      </c>
    </row>
    <row r="93" spans="1:7" ht="41.4" customHeight="1">
      <c r="A93" s="45" t="s">
        <v>79</v>
      </c>
      <c r="B93" s="40" t="s">
        <v>569</v>
      </c>
      <c r="C93" s="48" t="s">
        <v>141</v>
      </c>
      <c r="D93" s="40" t="s">
        <v>591</v>
      </c>
      <c r="E93" s="40" t="s">
        <v>28</v>
      </c>
      <c r="F93" s="40" t="s">
        <v>592</v>
      </c>
      <c r="G93" s="41" t="s">
        <v>593</v>
      </c>
    </row>
    <row r="94" spans="1:7" ht="41.4" customHeight="1">
      <c r="A94" s="45" t="s">
        <v>79</v>
      </c>
      <c r="B94" s="40" t="s">
        <v>569</v>
      </c>
      <c r="C94" s="48" t="s">
        <v>191</v>
      </c>
      <c r="D94" s="40" t="s">
        <v>594</v>
      </c>
      <c r="E94" s="40" t="s">
        <v>595</v>
      </c>
      <c r="F94" s="40" t="s">
        <v>596</v>
      </c>
      <c r="G94" s="41" t="s">
        <v>597</v>
      </c>
    </row>
    <row r="95" spans="1:7" ht="41.4" customHeight="1">
      <c r="A95" s="45" t="s">
        <v>79</v>
      </c>
      <c r="B95" s="40" t="s">
        <v>569</v>
      </c>
      <c r="C95" s="48" t="s">
        <v>192</v>
      </c>
      <c r="D95" s="40" t="s">
        <v>598</v>
      </c>
      <c r="E95" s="40" t="s">
        <v>599</v>
      </c>
      <c r="F95" s="40" t="s">
        <v>600</v>
      </c>
      <c r="G95" s="41" t="s">
        <v>601</v>
      </c>
    </row>
    <row r="96" spans="1:7" ht="41.4" customHeight="1">
      <c r="A96" s="45" t="s">
        <v>79</v>
      </c>
      <c r="B96" s="40" t="s">
        <v>569</v>
      </c>
      <c r="C96" s="48" t="s">
        <v>193</v>
      </c>
      <c r="D96" s="40" t="s">
        <v>602</v>
      </c>
      <c r="E96" s="40" t="s">
        <v>603</v>
      </c>
      <c r="F96" s="40" t="s">
        <v>604</v>
      </c>
      <c r="G96" s="41" t="s">
        <v>605</v>
      </c>
    </row>
    <row r="97" spans="1:7" ht="41.4" customHeight="1">
      <c r="A97" s="45" t="s">
        <v>79</v>
      </c>
      <c r="B97" s="40" t="s">
        <v>569</v>
      </c>
      <c r="C97" s="48" t="s">
        <v>182</v>
      </c>
      <c r="D97" s="40" t="s">
        <v>606</v>
      </c>
      <c r="E97" s="40" t="s">
        <v>607</v>
      </c>
      <c r="F97" s="40" t="s">
        <v>608</v>
      </c>
      <c r="G97" s="41" t="s">
        <v>609</v>
      </c>
    </row>
    <row r="98" spans="1:7" ht="41.4" customHeight="1">
      <c r="A98" s="45" t="s">
        <v>79</v>
      </c>
      <c r="B98" s="40" t="s">
        <v>569</v>
      </c>
      <c r="C98" s="48" t="s">
        <v>177</v>
      </c>
      <c r="D98" s="40" t="s">
        <v>610</v>
      </c>
      <c r="E98" s="40" t="s">
        <v>611</v>
      </c>
      <c r="F98" s="40" t="s">
        <v>612</v>
      </c>
      <c r="G98" s="41" t="s">
        <v>613</v>
      </c>
    </row>
    <row r="99" spans="1:7" ht="41.4" customHeight="1">
      <c r="A99" s="45" t="s">
        <v>79</v>
      </c>
      <c r="B99" s="40" t="s">
        <v>569</v>
      </c>
      <c r="C99" s="48" t="s">
        <v>183</v>
      </c>
      <c r="D99" s="40" t="s">
        <v>614</v>
      </c>
      <c r="E99" s="40" t="s">
        <v>35</v>
      </c>
      <c r="F99" s="40" t="s">
        <v>615</v>
      </c>
      <c r="G99" s="41" t="s">
        <v>616</v>
      </c>
    </row>
    <row r="100" spans="1:7" ht="41.4" customHeight="1">
      <c r="A100" s="45" t="s">
        <v>79</v>
      </c>
      <c r="B100" s="40" t="s">
        <v>569</v>
      </c>
      <c r="C100" s="48" t="s">
        <v>123</v>
      </c>
      <c r="D100" s="40" t="s">
        <v>617</v>
      </c>
      <c r="E100" s="40" t="s">
        <v>618</v>
      </c>
      <c r="F100" s="40" t="s">
        <v>619</v>
      </c>
      <c r="G100" s="41" t="s">
        <v>620</v>
      </c>
    </row>
    <row r="101" spans="1:7" ht="41.4" customHeight="1">
      <c r="A101" s="45" t="s">
        <v>83</v>
      </c>
      <c r="B101" s="40" t="s">
        <v>621</v>
      </c>
      <c r="C101" s="48" t="s">
        <v>109</v>
      </c>
      <c r="D101" s="40" t="s">
        <v>290</v>
      </c>
      <c r="E101" s="40" t="s">
        <v>622</v>
      </c>
      <c r="F101" s="40" t="s">
        <v>623</v>
      </c>
      <c r="G101" s="41" t="s">
        <v>293</v>
      </c>
    </row>
    <row r="102" spans="1:7" ht="41.4" customHeight="1">
      <c r="A102" s="45" t="s">
        <v>83</v>
      </c>
      <c r="B102" s="40" t="s">
        <v>621</v>
      </c>
      <c r="C102" s="48" t="s">
        <v>196</v>
      </c>
      <c r="D102" s="40" t="s">
        <v>624</v>
      </c>
      <c r="E102" s="40" t="s">
        <v>625</v>
      </c>
      <c r="F102" s="40" t="s">
        <v>626</v>
      </c>
      <c r="G102" s="41" t="s">
        <v>627</v>
      </c>
    </row>
    <row r="103" spans="1:7" ht="41.4" customHeight="1">
      <c r="A103" s="45" t="s">
        <v>83</v>
      </c>
      <c r="B103" s="40" t="s">
        <v>621</v>
      </c>
      <c r="C103" s="48" t="s">
        <v>197</v>
      </c>
      <c r="D103" s="40" t="s">
        <v>628</v>
      </c>
      <c r="E103" s="40" t="s">
        <v>629</v>
      </c>
      <c r="F103" s="40" t="s">
        <v>630</v>
      </c>
      <c r="G103" s="41" t="s">
        <v>631</v>
      </c>
    </row>
    <row r="104" spans="1:7" ht="41.4" customHeight="1">
      <c r="A104" s="45" t="s">
        <v>83</v>
      </c>
      <c r="B104" s="40" t="s">
        <v>621</v>
      </c>
      <c r="C104" s="48" t="s">
        <v>198</v>
      </c>
      <c r="D104" s="40" t="s">
        <v>632</v>
      </c>
      <c r="E104" s="40" t="s">
        <v>633</v>
      </c>
      <c r="F104" s="40" t="s">
        <v>634</v>
      </c>
      <c r="G104" s="41" t="s">
        <v>635</v>
      </c>
    </row>
    <row r="105" spans="1:7" ht="41.4" customHeight="1">
      <c r="A105" s="45" t="s">
        <v>83</v>
      </c>
      <c r="B105" s="40" t="s">
        <v>621</v>
      </c>
      <c r="C105" s="48" t="s">
        <v>199</v>
      </c>
      <c r="D105" s="40" t="s">
        <v>636</v>
      </c>
      <c r="E105" s="40" t="s">
        <v>637</v>
      </c>
      <c r="F105" s="40" t="s">
        <v>638</v>
      </c>
      <c r="G105" s="41" t="s">
        <v>639</v>
      </c>
    </row>
    <row r="106" spans="1:7" ht="41.4" customHeight="1">
      <c r="A106" s="45" t="s">
        <v>83</v>
      </c>
      <c r="B106" s="40" t="s">
        <v>621</v>
      </c>
      <c r="C106" s="48" t="s">
        <v>200</v>
      </c>
      <c r="D106" s="40" t="s">
        <v>640</v>
      </c>
      <c r="E106" s="40" t="s">
        <v>8</v>
      </c>
      <c r="F106" s="40" t="s">
        <v>641</v>
      </c>
      <c r="G106" s="41" t="s">
        <v>642</v>
      </c>
    </row>
    <row r="107" spans="1:7" ht="41.4" customHeight="1">
      <c r="A107" s="45" t="s">
        <v>83</v>
      </c>
      <c r="B107" s="40" t="s">
        <v>621</v>
      </c>
      <c r="C107" s="48" t="s">
        <v>201</v>
      </c>
      <c r="D107" s="40" t="s">
        <v>643</v>
      </c>
      <c r="E107" s="40" t="s">
        <v>8</v>
      </c>
      <c r="F107" s="40" t="s">
        <v>644</v>
      </c>
      <c r="G107" s="41" t="s">
        <v>645</v>
      </c>
    </row>
    <row r="108" spans="1:7" ht="41.4" customHeight="1">
      <c r="A108" s="45" t="s">
        <v>83</v>
      </c>
      <c r="B108" s="40" t="s">
        <v>621</v>
      </c>
      <c r="C108" s="48" t="s">
        <v>202</v>
      </c>
      <c r="D108" s="40" t="s">
        <v>646</v>
      </c>
      <c r="E108" s="40" t="s">
        <v>8</v>
      </c>
      <c r="F108" s="40" t="s">
        <v>647</v>
      </c>
      <c r="G108" s="41" t="s">
        <v>648</v>
      </c>
    </row>
    <row r="109" spans="1:7" ht="41.4" customHeight="1">
      <c r="A109" s="45" t="s">
        <v>83</v>
      </c>
      <c r="B109" s="40" t="s">
        <v>621</v>
      </c>
      <c r="C109" s="48" t="s">
        <v>203</v>
      </c>
      <c r="D109" s="40" t="s">
        <v>649</v>
      </c>
      <c r="E109" s="40" t="s">
        <v>209</v>
      </c>
      <c r="F109" s="40" t="s">
        <v>650</v>
      </c>
      <c r="G109" s="41" t="s">
        <v>651</v>
      </c>
    </row>
    <row r="110" spans="1:7" ht="41.4" customHeight="1">
      <c r="A110" s="45" t="s">
        <v>83</v>
      </c>
      <c r="B110" s="40" t="s">
        <v>621</v>
      </c>
      <c r="C110" s="48" t="s">
        <v>204</v>
      </c>
      <c r="D110" s="40" t="s">
        <v>652</v>
      </c>
      <c r="E110" s="40" t="s">
        <v>8</v>
      </c>
      <c r="F110" s="40" t="s">
        <v>653</v>
      </c>
      <c r="G110" s="41" t="s">
        <v>654</v>
      </c>
    </row>
    <row r="111" spans="1:7" ht="41.4" customHeight="1">
      <c r="A111" s="45" t="s">
        <v>83</v>
      </c>
      <c r="B111" s="40" t="s">
        <v>621</v>
      </c>
      <c r="C111" s="48" t="s">
        <v>205</v>
      </c>
      <c r="D111" s="40" t="s">
        <v>655</v>
      </c>
      <c r="E111" s="40" t="s">
        <v>8</v>
      </c>
      <c r="F111" s="40" t="s">
        <v>656</v>
      </c>
      <c r="G111" s="41" t="s">
        <v>657</v>
      </c>
    </row>
    <row r="112" spans="1:7" ht="41.4" customHeight="1">
      <c r="A112" s="45" t="s">
        <v>83</v>
      </c>
      <c r="B112" s="40" t="s">
        <v>621</v>
      </c>
      <c r="C112" s="48" t="s">
        <v>206</v>
      </c>
      <c r="D112" s="40" t="s">
        <v>658</v>
      </c>
      <c r="E112" s="40" t="s">
        <v>8</v>
      </c>
      <c r="F112" s="40" t="s">
        <v>659</v>
      </c>
      <c r="G112" s="41" t="s">
        <v>660</v>
      </c>
    </row>
    <row r="113" spans="1:7" ht="41.4" customHeight="1">
      <c r="A113" s="45" t="s">
        <v>83</v>
      </c>
      <c r="B113" s="40" t="s">
        <v>621</v>
      </c>
      <c r="C113" s="48" t="s">
        <v>193</v>
      </c>
      <c r="D113" s="40" t="s">
        <v>661</v>
      </c>
      <c r="E113" s="40" t="s">
        <v>662</v>
      </c>
      <c r="F113" s="40" t="s">
        <v>604</v>
      </c>
      <c r="G113" s="41" t="s">
        <v>663</v>
      </c>
    </row>
    <row r="114" spans="1:7" ht="41.4" customHeight="1">
      <c r="A114" s="45" t="s">
        <v>83</v>
      </c>
      <c r="B114" s="40" t="s">
        <v>621</v>
      </c>
      <c r="C114" s="48" t="s">
        <v>182</v>
      </c>
      <c r="D114" s="40" t="s">
        <v>664</v>
      </c>
      <c r="E114" s="40" t="s">
        <v>665</v>
      </c>
      <c r="F114" s="40" t="s">
        <v>666</v>
      </c>
      <c r="G114" s="41" t="s">
        <v>667</v>
      </c>
    </row>
    <row r="115" spans="1:7" ht="41.4" customHeight="1">
      <c r="A115" s="45" t="s">
        <v>83</v>
      </c>
      <c r="B115" s="40" t="s">
        <v>621</v>
      </c>
      <c r="C115" s="48" t="s">
        <v>177</v>
      </c>
      <c r="D115" s="40" t="s">
        <v>668</v>
      </c>
      <c r="E115" s="40" t="s">
        <v>669</v>
      </c>
      <c r="F115" s="40" t="s">
        <v>670</v>
      </c>
      <c r="G115" s="41" t="s">
        <v>671</v>
      </c>
    </row>
    <row r="116" spans="1:7" ht="41.4" customHeight="1">
      <c r="A116" s="46" t="s">
        <v>83</v>
      </c>
      <c r="B116" s="42" t="s">
        <v>621</v>
      </c>
      <c r="C116" s="49" t="s">
        <v>123</v>
      </c>
      <c r="D116" s="42" t="s">
        <v>672</v>
      </c>
      <c r="E116" s="42" t="s">
        <v>673</v>
      </c>
      <c r="F116" s="42" t="s">
        <v>674</v>
      </c>
      <c r="G116" s="43" t="s">
        <v>675</v>
      </c>
    </row>
  </sheetData>
  <mergeCells count="4">
    <mergeCell ref="A1:G2"/>
    <mergeCell ref="A3:G5"/>
    <mergeCell ref="I1:M1"/>
    <mergeCell ref="I9:M1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13226-F652-4458-B45C-642EE3E28A13}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Listas</vt:lpstr>
      <vt:lpstr>00_Instrucciones</vt:lpstr>
      <vt:lpstr>01_Familia</vt:lpstr>
      <vt:lpstr>02_Empresas</vt:lpstr>
      <vt:lpstr>03_Accionistas</vt:lpstr>
      <vt:lpstr>04_Patrimonio</vt:lpstr>
      <vt:lpstr>05_Documentos</vt:lpstr>
      <vt:lpstr>06_Riesgos</vt:lpstr>
      <vt:lpstr>07_Decisiones</vt:lpstr>
      <vt:lpstr>08_Resumen</vt:lpstr>
      <vt:lpstr>00_Academia_Campos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SOLUCIONES COMERCIALES Y CONSTRUCTIVAS SAS</dc:creator>
  <cp:lastModifiedBy>SOLUCIONES COMERCIALES Y CONSTRUCTIVAS SAS</cp:lastModifiedBy>
  <dcterms:created xsi:type="dcterms:W3CDTF">2026-07-28T16:59:29Z</dcterms:created>
  <dcterms:modified xsi:type="dcterms:W3CDTF">2026-07-28T17:05:13Z</dcterms:modified>
</cp:coreProperties>
</file>